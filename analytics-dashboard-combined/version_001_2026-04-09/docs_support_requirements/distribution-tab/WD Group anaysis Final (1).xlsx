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C:\Users\ASUS\Downloads\SEG Data\"/>
    </mc:Choice>
  </mc:AlternateContent>
  <xr:revisionPtr revIDLastSave="0" documentId="13_ncr:1_{2E959CD8-D999-4C52-A3FB-589505819F50}" xr6:coauthVersionLast="41" xr6:coauthVersionMax="47" xr10:uidLastSave="{00000000-0000-0000-0000-000000000000}"/>
  <bookViews>
    <workbookView xWindow="28680" yWindow="-1035" windowWidth="29040" windowHeight="15720" activeTab="4" xr2:uid="{00000000-000D-0000-FFFF-FFFF00000000}"/>
  </bookViews>
  <sheets>
    <sheet name="Executive Summary" sheetId="1" r:id="rId1"/>
    <sheet name="Rankings" sheetId="2" r:id="rId2"/>
    <sheet name="Competitor Insights" sheetId="6" r:id="rId3"/>
    <sheet name="Competitive Wins" sheetId="3" r:id="rId4"/>
    <sheet name="Full Summary" sheetId="5" r:id="rId5"/>
  </sheets>
  <calcPr calcId="191029"/>
</workbook>
</file>

<file path=xl/calcChain.xml><?xml version="1.0" encoding="utf-8"?>
<calcChain xmlns="http://schemas.openxmlformats.org/spreadsheetml/2006/main">
  <c r="AE22" i="5" l="1"/>
  <c r="AD22" i="5"/>
  <c r="Y22" i="5"/>
  <c r="X22" i="5"/>
  <c r="S22" i="5"/>
  <c r="R22" i="5"/>
  <c r="M22" i="5"/>
  <c r="L22" i="5"/>
  <c r="G22" i="5"/>
  <c r="F22" i="5"/>
  <c r="O22" i="5"/>
  <c r="U22" i="5"/>
  <c r="AA22" i="5"/>
  <c r="I22" i="5"/>
  <c r="C22" i="5"/>
  <c r="D22" i="5"/>
  <c r="E22" i="5"/>
  <c r="J22" i="5"/>
  <c r="K22" i="5"/>
  <c r="P22" i="5"/>
  <c r="Q22" i="5"/>
  <c r="V22" i="5"/>
  <c r="W22" i="5"/>
  <c r="AB22" i="5"/>
  <c r="AC22" i="5"/>
</calcChain>
</file>

<file path=xl/sharedStrings.xml><?xml version="1.0" encoding="utf-8"?>
<sst xmlns="http://schemas.openxmlformats.org/spreadsheetml/2006/main" count="354" uniqueCount="207">
  <si>
    <t>metric</t>
  </si>
  <si>
    <t>value</t>
  </si>
  <si>
    <t>total_wd_groups</t>
  </si>
  <si>
    <t>wd_groups_outperforming_competitors</t>
  </si>
  <si>
    <t>wd_group</t>
  </si>
  <si>
    <t>wd_total_wk2</t>
  </si>
  <si>
    <t>wd_share_wk2</t>
  </si>
  <si>
    <t>wd_growth_wk3_to_wk2</t>
  </si>
  <si>
    <t>rank_wd_total_wk2</t>
  </si>
  <si>
    <t>rank_wd_share_wk2</t>
  </si>
  <si>
    <t>rank_growth_wk3_to_wk2</t>
  </si>
  <si>
    <t>WinnDixie481</t>
  </si>
  <si>
    <t>WinnDixie436</t>
  </si>
  <si>
    <t>WinnDixie123</t>
  </si>
  <si>
    <t>WinnDixie726</t>
  </si>
  <si>
    <t>WinnDixie711</t>
  </si>
  <si>
    <t>WinnDixie2437</t>
  </si>
  <si>
    <t>WinnDixie493</t>
  </si>
  <si>
    <t>WinnDixie2288</t>
  </si>
  <si>
    <t>WinnDixie349</t>
  </si>
  <si>
    <t>WinnDixie381</t>
  </si>
  <si>
    <t>WinnDixie2448</t>
  </si>
  <si>
    <t>WinnDixie2269</t>
  </si>
  <si>
    <t>WinnDixie2568</t>
  </si>
  <si>
    <t>WinnDixie267</t>
  </si>
  <si>
    <t>WinnDixie2423</t>
  </si>
  <si>
    <t>WinnDixie343</t>
  </si>
  <si>
    <t>WinnDixie336</t>
  </si>
  <si>
    <t>WinnDixie2556</t>
  </si>
  <si>
    <t>WinnDixie86</t>
  </si>
  <si>
    <t>WinnDixie358</t>
  </si>
  <si>
    <t>comp_growth_wk3_to_wk2</t>
  </si>
  <si>
    <t>wd_share_wk3</t>
  </si>
  <si>
    <t>wd_share_change_wk3_to_wk2</t>
  </si>
  <si>
    <t>wd_outperforming_comp</t>
  </si>
  <si>
    <t>ALDI-3157 West 23rd Street, Lynn Haven, FL 32444</t>
  </si>
  <si>
    <t>wd_store</t>
  </si>
  <si>
    <t>group_total_wk3</t>
  </si>
  <si>
    <t>wd_total_wk3</t>
  </si>
  <si>
    <t>comp_total_wk3</t>
  </si>
  <si>
    <t>comp_share_wk3</t>
  </si>
  <si>
    <t>comp_count_wk3</t>
  </si>
  <si>
    <t>group_total_wk4</t>
  </si>
  <si>
    <t>wd_total_wk4</t>
  </si>
  <si>
    <t>comp_total_wk4</t>
  </si>
  <si>
    <t>wd_share_wk4</t>
  </si>
  <si>
    <t>comp_share_wk4</t>
  </si>
  <si>
    <t>comp_count_wk4</t>
  </si>
  <si>
    <t>group_total_wk5</t>
  </si>
  <si>
    <t>wd_total_wk5</t>
  </si>
  <si>
    <t>comp_total_wk5</t>
  </si>
  <si>
    <t>wd_share_wk5</t>
  </si>
  <si>
    <t>comp_share_wk5</t>
  </si>
  <si>
    <t>comp_count_wk5</t>
  </si>
  <si>
    <t>group_total_wk1</t>
  </si>
  <si>
    <t>wd_total_wk1</t>
  </si>
  <si>
    <t>comp_total_wk1</t>
  </si>
  <si>
    <t>wd_share_wk1</t>
  </si>
  <si>
    <t>comp_share_wk1</t>
  </si>
  <si>
    <t>comp_count_wk1</t>
  </si>
  <si>
    <t>group_total_wk2</t>
  </si>
  <si>
    <t>comp_total_wk2</t>
  </si>
  <si>
    <t>comp_share_wk2</t>
  </si>
  <si>
    <t>comp_count_wk2</t>
  </si>
  <si>
    <t>wd_growth_wk3_to_wk4</t>
  </si>
  <si>
    <t>comp_growth_wk3_to_wk4</t>
  </si>
  <si>
    <t>wd_share_change_wk3_to_wk4</t>
  </si>
  <si>
    <t>wd_growth_wk4_to_wk5</t>
  </si>
  <si>
    <t>comp_growth_wk4_to_wk5</t>
  </si>
  <si>
    <t>wd_share_change_wk4_to_wk5</t>
  </si>
  <si>
    <t>wd_growth_wk5_to_wk1</t>
  </si>
  <si>
    <t>comp_growth_wk5_to_wk1</t>
  </si>
  <si>
    <t>wd_share_change_wk5_to_wk1</t>
  </si>
  <si>
    <t>wd_growth_wk1_to_wk2</t>
  </si>
  <si>
    <t>comp_growth_wk1_to_wk2</t>
  </si>
  <si>
    <t>wd_share_change_wk1_to_wk2</t>
  </si>
  <si>
    <t>WinnDixie 123-5647 ROOSEVELT BLVD, JACKSONVILLE, FL 32244</t>
  </si>
  <si>
    <t>WinnDixie 2269-13200 E COLONIAL DR, ORLANDO, FL 32826</t>
  </si>
  <si>
    <t>WinnDixie 2288-2960 CURRY FORD RD, ORLANDO, FL 32806</t>
  </si>
  <si>
    <t>WinnDixie 2423-8775 TEMPLE TERRACE HWY, TAMPA, FL 33637</t>
  </si>
  <si>
    <t>WinnDixie 2437-7131 N US HIGHWAY 441, OCALA, FL 34475</t>
  </si>
  <si>
    <t>WinnDixie 2448-515 7TH ST W, PALMETTO, FL 34221</t>
  </si>
  <si>
    <t>WinnDixie 2556-11700 SAN JOSE BLVD, JACKSONVILLE, FL 32223</t>
  </si>
  <si>
    <t>WinnDixie 2568-3170 W NEW HAVEN AVE, MELBOURNE, FL 32904</t>
  </si>
  <si>
    <t>WinnDixie 267-5585 OVERSEAS HWY, MARATHON, FL 33050</t>
  </si>
  <si>
    <t>WinnDixie 336-3850 N 46TH AVE, HOLLYWOOD, FL 33021</t>
  </si>
  <si>
    <t>WinnDixie 343-14900 NW 7TH AVE, MIAMI, FL 33168</t>
  </si>
  <si>
    <t>WinnDixie 349-5600 W SAMPLE RD, POMPANO BEACH, FL 33073</t>
  </si>
  <si>
    <t>WinnDixie 358-251 KEY DEER BLVD, BIG PINE KEY, FL 33043</t>
  </si>
  <si>
    <t>WinnDixie 381-900 S MAIN ST, BELLE GLADE, FL 33430</t>
  </si>
  <si>
    <t>WinnDixie 436-1812 Hwy 77 South, Lynn Haven, FL 32443</t>
  </si>
  <si>
    <t>WinnDixie 481-3621 US-231, PANAMA CITY, FL 32404</t>
  </si>
  <si>
    <t>WinnDixie 493-13019 SORRENTO RD, PENSACOLA, FL 32507</t>
  </si>
  <si>
    <t>WinnDixie 711-2240 COMMERCIAL WAY, SPRING HILL, FL 34606</t>
  </si>
  <si>
    <t>WinnDixie 726-9864 STRINGFELLOW RD, ST JAMES CITY, FL 33956</t>
  </si>
  <si>
    <t>WinnDixie 86-111 S MAGNOLIA DR STE 39, TALLAHASSEE, FL 32301</t>
  </si>
  <si>
    <t>This sheet shows stats about all weeks in order, starting with week 3 of December and ending with week 2 of January. "comp count" shows the total number of competitors we are comparing against. "wd" is used to distinguish between the source store and all competitors. "comp" signifies all competitors grouped against each other. "share" is referencing the total market share. This is calculated by looking at the total number of observations across the source store and their competitors. For example, a "wd_share" of 40% is good because it means the rest of the market share is split up against all other competitors we are observing, not just one of them.</t>
  </si>
  <si>
    <t>Columns B and C are looking at the total growth percentages. This is split up between "wd" meaning source store, and "comp" meaning all competitors grouped together. For understanding this page, it is best to compare columns B and C as a group of data and columns D-G as their own group of data. This is why you can see negative growth, but still have a positive "TRUE" in column G. Is WD and Comp both saw decreased growth, then we are looking at which group had a lower decrease.</t>
  </si>
  <si>
    <t>This sheet shows a ranking of stores based on total visits in column E. Column F and G rank those stores based off of growth numbers and percentage of market share. The raw data for these analysis can be found on the final sheet title "Full Summary"</t>
  </si>
  <si>
    <t>city</t>
  </si>
  <si>
    <t>state</t>
  </si>
  <si>
    <t>rank_by_w1_total</t>
  </si>
  <si>
    <t>rank_by_growth</t>
  </si>
  <si>
    <t>rank_by_market_share</t>
  </si>
  <si>
    <t>wd_total_w3</t>
  </si>
  <si>
    <t>wd_total_w4</t>
  </si>
  <si>
    <t>wd_total_w5</t>
  </si>
  <si>
    <t>wd_total_w1</t>
  </si>
  <si>
    <t>comp_total_w1</t>
  </si>
  <si>
    <t>num_competitors</t>
  </si>
  <si>
    <t>wd_market_share_w3</t>
  </si>
  <si>
    <t>wd_market_share_w1</t>
  </si>
  <si>
    <t>wd_market_share_change</t>
  </si>
  <si>
    <t>wd_growth_w3_to_w1</t>
  </si>
  <si>
    <t>comp_growth_w3_to_w1</t>
  </si>
  <si>
    <t>growth_advantage</t>
  </si>
  <si>
    <t>trend</t>
  </si>
  <si>
    <t>avg_momentum</t>
  </si>
  <si>
    <t>w3_w4_change</t>
  </si>
  <si>
    <t>w4_w5_change</t>
  </si>
  <si>
    <t>w5_w1_change</t>
  </si>
  <si>
    <t>hhi</t>
  </si>
  <si>
    <t>hhi_status</t>
  </si>
  <si>
    <t>threat_count</t>
  </si>
  <si>
    <t>primary_threat</t>
  </si>
  <si>
    <t>threat_details</t>
  </si>
  <si>
    <t>alert_summary</t>
  </si>
  <si>
    <t>JACKSONVILLE</t>
  </si>
  <si>
    <t>FL</t>
  </si>
  <si>
    <t>📊 Mixed (Negative)</t>
  </si>
  <si>
    <t>🔴 Highly Concentrated</t>
  </si>
  <si>
    <t>Caribe Breeze Food Market-7244 BLANDING BLVD, JACK</t>
  </si>
  <si>
    <t>Outpacing: Growing 68.8% vs WD -5.1% | Largest: Traffic: 718</t>
  </si>
  <si>
    <t>No alerts</t>
  </si>
  <si>
    <t>ORLANDO</t>
  </si>
  <si>
    <t>🟡 Moderately Concentrated</t>
  </si>
  <si>
    <t>Walmart Neighborhood Market-433 AVALON PARK SOUTH</t>
  </si>
  <si>
    <t>Outpacing: Growing 13.5% vs WD 2.7% | Largest: Traffic: 315</t>
  </si>
  <si>
    <t>Publix Super Market at Conway Crossing-4501 HOFFNE</t>
  </si>
  <si>
    <t>Outpacing: Growing 47.4% vs WD 10.8% | Largest: Traffic: 182</t>
  </si>
  <si>
    <t>🔴 CRITICAL: Data anomaly detected | 🟢 OPPORTUNITY: Significantly outperforming competitors</t>
  </si>
  <si>
    <t>TAMPA</t>
  </si>
  <si>
    <t>Publix Super Market at Terrace Ridge Plaza-11502 N</t>
  </si>
  <si>
    <t>Outpacing: Growing 38.5% vs WD 30.2% | Largest: Traffic: 356</t>
  </si>
  <si>
    <t>OCALA</t>
  </si>
  <si>
    <t>📊 Mixed (Positive)</t>
  </si>
  <si>
    <t>Publix Super Market at Pearl Britain Plaza-2655 NW</t>
  </si>
  <si>
    <t>Largest: Traffic: 338</t>
  </si>
  <si>
    <t>🟢 OPPORTUNITY: Significantly outperforming competitors</t>
  </si>
  <si>
    <t>PALMETTO</t>
  </si>
  <si>
    <t>Publix Super Market at Westgate Shopping Center-39</t>
  </si>
  <si>
    <t>Outpacing: Growing 31.3% vs WD 29.6% | Largest: Traffic: 460</t>
  </si>
  <si>
    <t>Publix Super Market at Mandarin Oaks Shopping Cent</t>
  </si>
  <si>
    <t>Outpacing: Growing 15.1% vs WD 4.4% | Largest: Traffic: 229</t>
  </si>
  <si>
    <t>MELBOURNE</t>
  </si>
  <si>
    <t>ALDI-1539 W NEW HAVEN AVE, MELBOURNE, FL 32904</t>
  </si>
  <si>
    <t>Outpacing: Growing 250.0% vs WD 17.1% | Largest: Traffic: 449</t>
  </si>
  <si>
    <t>MARATHON</t>
  </si>
  <si>
    <t>Publix Super Market at Marathon-5407 OVERSEAS HWY,</t>
  </si>
  <si>
    <t>Outpacing: Growing 112.3% vs WD 44.0% | Largest: Traffic: 450</t>
  </si>
  <si>
    <t>🟡 WARNING: Competitors outpacing WD growth</t>
  </si>
  <si>
    <t>HOLLYWOOD</t>
  </si>
  <si>
    <t>Publix Super Market at Oakbridge-3102 Griffin Road</t>
  </si>
  <si>
    <t>Largest: Traffic: 62</t>
  </si>
  <si>
    <t>MIAMI</t>
  </si>
  <si>
    <t>Walmart Neighborhood Market-3791 Northwest 167th S</t>
  </si>
  <si>
    <t>Outpacing: Growing 381.8% vs WD 101.5% | Largest: Traffic: 106</t>
  </si>
  <si>
    <t>POMPANO BEACH</t>
  </si>
  <si>
    <t>The Fresh Market-4633 N UNIVERSITY DR, POMPANO BEA</t>
  </si>
  <si>
    <t>Outpacing: Growing 157.1% vs WD 67.4% | Largest: Traffic: 221</t>
  </si>
  <si>
    <t>BIG PINE KEY</t>
  </si>
  <si>
    <t>Tindahan – The Little Asian Store-33 SHIPS WAY, BI</t>
  </si>
  <si>
    <t>Largest: Traffic: 5</t>
  </si>
  <si>
    <t>BELLE GLADE</t>
  </si>
  <si>
    <t>Cap Haitien supermarket-216 SW 6TH ST, BELLE GLADE</t>
  </si>
  <si>
    <t>Outpacing: Growing 200.0% vs WD 76.7% | Largest: Traffic: 165</t>
  </si>
  <si>
    <t>Lynn Haven</t>
  </si>
  <si>
    <t>Outpacing: Growing 93.3% vs WD 11.4% | Largest: Traffic: 1,095</t>
  </si>
  <si>
    <t>PANAMA CITY</t>
  </si>
  <si>
    <t>ALDI-5500 E 7TH ST, PANAMA CITY, FL 32404</t>
  </si>
  <si>
    <t>Outpacing: Growing 195.5% vs WD 26.4% | Largest: Traffic: 1,453</t>
  </si>
  <si>
    <t>PENSACOLA</t>
  </si>
  <si>
    <t>Publix Super Market at Shops at Perdido Key-13390</t>
  </si>
  <si>
    <t>Largest: Traffic: 670</t>
  </si>
  <si>
    <t>SPRING HILL</t>
  </si>
  <si>
    <t>Publix Super Market at Hernando West-1400 PINEHURS</t>
  </si>
  <si>
    <t>Largest: Traffic: 391</t>
  </si>
  <si>
    <t>ST JAMES CITY</t>
  </si>
  <si>
    <t>Publix Super Market at Calusa Cay-5100 Pine Island</t>
  </si>
  <si>
    <t>Largest: Traffic: 156</t>
  </si>
  <si>
    <t>TALLAHASSEE</t>
  </si>
  <si>
    <t>Publix Super Market at Lake Ella Plaza-1700 N MONR</t>
  </si>
  <si>
    <t>Outpacing: Growing 33.3% vs WD -58.4% | Largest: Traffic: 34</t>
  </si>
  <si>
    <t xml:space="preserve">Critial represents a period where the data dropped off signifcantly week to week throughout analysis. Meaning, one week we saw a large number of devices in total, and in the next week we saw significantly fewer across source and competitor. This is meant to label data anonmalies and not a tag about the performance of a store. Oppurtunity signifies that the source store is outperforming the competitors as a whole. Warning indicates that the competitors as a whole are outpacing the source store. </t>
  </si>
  <si>
    <t xml:space="preserve">When looking at column AB, it is important to understand that this is an analysis of the growth of the "primary threat" vs the source store, NOT a comparison of the source store vs. all competitors. </t>
  </si>
  <si>
    <t>This sheet has a large number of hidden columns. These columns can be unhidden in order to show the exact math behind how these conclusions were drawn. However, this view of the sheet highlights the key data points found in this report.</t>
  </si>
  <si>
    <t>Negative momententum can be ignored as this is repesentative of how an audience decays over a 30-day period.</t>
  </si>
  <si>
    <t>wk 3</t>
  </si>
  <si>
    <t>wk 4</t>
  </si>
  <si>
    <t>wk 5</t>
  </si>
  <si>
    <t>wk 1</t>
  </si>
  <si>
    <t>wk 2</t>
  </si>
  <si>
    <t>12/10/2025 – 12/16/2025</t>
  </si>
  <si>
    <t>12/17/2025 – 12/23/2025</t>
  </si>
  <si>
    <t>12/31/2025 – 1/6/2026</t>
  </si>
  <si>
    <t>12/24/2025 – 12/30/2025</t>
  </si>
  <si>
    <t>1/7/2026 – 1/13/2026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</si>
</sst>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Arial"/>
      <family val="2"/>
      <scheme val="minor"/>
    </font>
    <font>
      <sz val="10"/>
      <color theme="1"/>
      <name val="Arial"/>
      <family val="2"/>
      <scheme val="minor"/>
    </font>
    <font>
      <sz val="10"/>
      <color rgb="FF000000"/>
      <name val="Arial"/>
      <family val="2"/>
      <scheme val="minor"/>
    </font>
    <font>
      <sz val="14"/>
      <color rgb="FF000000"/>
      <name val="Arial"/>
      <family val="2"/>
      <scheme val="minor"/>
    </font>
    <font>
      <b/>
      <sz val="11"/>
      <color theme="1"/>
      <name val="Calibri"/>
      <family val="2"/>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3" fillId="0" borderId="0" applyFont="0" applyFill="0" applyBorder="0" applyAlignment="0" applyProtection="0"/>
  </cellStyleXfs>
  <cellXfs count="12">
    <xf numFmtId="0" fontId="0" fillId="0" borderId="0" xfId="0"/>
    <xf numFmtId="0" fontId="1" fillId="0" borderId="1" xfId="0" applyFont="1" applyBorder="1" applyAlignment="1">
      <alignment horizontal="center" vertical="top"/>
    </xf>
    <xf numFmtId="0" fontId="2" fillId="0" borderId="0" xfId="0" applyFont="1"/>
    <xf numFmtId="10" fontId="2" fillId="0" borderId="0" xfId="1" applyNumberFormat="1" applyFont="1"/>
    <xf numFmtId="0" fontId="5" fillId="0" borderId="1" xfId="0" applyFont="1" applyBorder="1" applyAlignment="1">
      <alignment horizontal="center" vertical="top"/>
    </xf>
    <xf numFmtId="0" fontId="6" fillId="0" borderId="0" xfId="0" applyFont="1"/>
    <xf numFmtId="0" fontId="6" fillId="0" borderId="0" xfId="0" applyFont="1" applyAlignment="1">
      <alignment horizontal="right"/>
    </xf>
    <xf numFmtId="0" fontId="3" fillId="0" borderId="0" xfId="0" applyFont="1"/>
    <xf numFmtId="0" fontId="4" fillId="0" borderId="0" xfId="0" applyFont="1" applyAlignment="1">
      <alignment horizontal="center" vertical="center" wrapText="1"/>
    </xf>
    <xf numFmtId="9" fontId="1" fillId="0" borderId="1" xfId="1" applyFont="1" applyBorder="1" applyAlignment="1">
      <alignment horizontal="center" vertical="top"/>
    </xf>
    <xf numFmtId="9" fontId="2" fillId="0" borderId="0" xfId="1" applyFont="1"/>
    <xf numFmtId="9" fontId="0" fillId="0" borderId="0" xfId="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97"/>
  <sheetViews>
    <sheetView workbookViewId="0">
      <selection activeCell="E10" sqref="E10"/>
    </sheetView>
  </sheetViews>
  <sheetFormatPr defaultColWidth="12.6640625" defaultRowHeight="15.75" customHeight="1" x14ac:dyDescent="0.25"/>
  <cols>
    <col min="1" max="1" width="29.77734375" customWidth="1"/>
    <col min="2" max="2" width="21.44140625" customWidth="1"/>
    <col min="3" max="26" width="7.6640625" customWidth="1"/>
  </cols>
  <sheetData>
    <row r="1" spans="1:2" ht="15.75" customHeight="1" x14ac:dyDescent="0.25">
      <c r="A1" s="1" t="s">
        <v>0</v>
      </c>
      <c r="B1" s="1" t="s">
        <v>1</v>
      </c>
    </row>
    <row r="2" spans="1:2" ht="15.75" customHeight="1" x14ac:dyDescent="0.25">
      <c r="A2" s="2" t="s">
        <v>2</v>
      </c>
      <c r="B2" s="2">
        <v>20</v>
      </c>
    </row>
    <row r="3" spans="1:2" ht="15.75" customHeight="1" x14ac:dyDescent="0.25">
      <c r="A3" s="2" t="s">
        <v>3</v>
      </c>
      <c r="B3" s="2">
        <v>15</v>
      </c>
    </row>
    <row r="6" spans="1:2" ht="15.75" customHeight="1" x14ac:dyDescent="0.25">
      <c r="A6" s="7" t="s">
        <v>197</v>
      </c>
      <c r="B6" s="7" t="s">
        <v>202</v>
      </c>
    </row>
    <row r="7" spans="1:2" ht="15.75" customHeight="1" x14ac:dyDescent="0.25">
      <c r="A7" s="7" t="s">
        <v>198</v>
      </c>
      <c r="B7" s="7" t="s">
        <v>203</v>
      </c>
    </row>
    <row r="8" spans="1:2" ht="15.75" customHeight="1" x14ac:dyDescent="0.25">
      <c r="A8" s="7" t="s">
        <v>199</v>
      </c>
      <c r="B8" s="7" t="s">
        <v>205</v>
      </c>
    </row>
    <row r="9" spans="1:2" ht="15.75" customHeight="1" x14ac:dyDescent="0.25">
      <c r="A9" s="7" t="s">
        <v>200</v>
      </c>
      <c r="B9" s="7" t="s">
        <v>204</v>
      </c>
    </row>
    <row r="10" spans="1:2" ht="15.75" customHeight="1" x14ac:dyDescent="0.25">
      <c r="A10" s="7" t="s">
        <v>201</v>
      </c>
      <c r="B10" s="7" t="s">
        <v>206</v>
      </c>
    </row>
    <row r="46" ht="13.2" x14ac:dyDescent="0.25"/>
    <row r="47" ht="13.2" x14ac:dyDescent="0.25"/>
    <row r="48" ht="13.2" x14ac:dyDescent="0.25"/>
    <row r="49" ht="13.2" x14ac:dyDescent="0.25"/>
    <row r="50" ht="13.2" x14ac:dyDescent="0.25"/>
    <row r="51" ht="13.2" x14ac:dyDescent="0.25"/>
    <row r="52" ht="13.2" x14ac:dyDescent="0.25"/>
    <row r="53" ht="13.2" x14ac:dyDescent="0.25"/>
    <row r="54" ht="13.2" x14ac:dyDescent="0.25"/>
    <row r="55" ht="13.2" x14ac:dyDescent="0.25"/>
    <row r="56" ht="13.2" x14ac:dyDescent="0.25"/>
    <row r="57" ht="13.2" x14ac:dyDescent="0.25"/>
    <row r="58" ht="13.2" x14ac:dyDescent="0.25"/>
    <row r="59" ht="13.2" x14ac:dyDescent="0.25"/>
    <row r="60" ht="13.2" x14ac:dyDescent="0.25"/>
    <row r="61" ht="13.2" x14ac:dyDescent="0.25"/>
    <row r="62" ht="13.2" x14ac:dyDescent="0.25"/>
    <row r="63" ht="13.2" x14ac:dyDescent="0.25"/>
    <row r="64" ht="13.2" x14ac:dyDescent="0.25"/>
    <row r="65" ht="13.2" x14ac:dyDescent="0.25"/>
    <row r="66" ht="13.2" x14ac:dyDescent="0.25"/>
    <row r="67" ht="13.2" x14ac:dyDescent="0.25"/>
    <row r="68" ht="13.2" x14ac:dyDescent="0.25"/>
    <row r="69" ht="13.2" x14ac:dyDescent="0.25"/>
    <row r="70" ht="13.2" x14ac:dyDescent="0.25"/>
    <row r="71" ht="13.2" x14ac:dyDescent="0.25"/>
    <row r="72" ht="13.2" x14ac:dyDescent="0.25"/>
    <row r="73" ht="13.2" x14ac:dyDescent="0.25"/>
    <row r="74" ht="13.2" x14ac:dyDescent="0.25"/>
    <row r="75" ht="13.2" x14ac:dyDescent="0.25"/>
    <row r="76" ht="13.2" x14ac:dyDescent="0.25"/>
    <row r="77" ht="13.2" x14ac:dyDescent="0.25"/>
    <row r="78" ht="13.2" x14ac:dyDescent="0.25"/>
    <row r="79" ht="13.2" x14ac:dyDescent="0.25"/>
    <row r="80" ht="13.2" x14ac:dyDescent="0.25"/>
    <row r="81" ht="13.2" x14ac:dyDescent="0.25"/>
    <row r="82" ht="13.2" x14ac:dyDescent="0.25"/>
    <row r="83" ht="13.2" x14ac:dyDescent="0.25"/>
    <row r="84" ht="13.2" x14ac:dyDescent="0.25"/>
    <row r="85" ht="13.2" x14ac:dyDescent="0.25"/>
    <row r="86" ht="13.2" x14ac:dyDescent="0.25"/>
    <row r="87" ht="13.2" x14ac:dyDescent="0.25"/>
    <row r="88" ht="13.2" x14ac:dyDescent="0.25"/>
    <row r="89" ht="13.2" x14ac:dyDescent="0.25"/>
    <row r="90" ht="13.2" x14ac:dyDescent="0.25"/>
    <row r="91" ht="13.2" x14ac:dyDescent="0.25"/>
    <row r="92" ht="13.2" x14ac:dyDescent="0.25"/>
    <row r="93" ht="13.2" x14ac:dyDescent="0.25"/>
    <row r="94" ht="13.2" x14ac:dyDescent="0.25"/>
    <row r="95" ht="13.2" x14ac:dyDescent="0.25"/>
    <row r="96" ht="13.2" x14ac:dyDescent="0.25"/>
    <row r="97" ht="13.2" x14ac:dyDescent="0.25"/>
    <row r="98" ht="13.2" x14ac:dyDescent="0.25"/>
    <row r="99" ht="13.2" x14ac:dyDescent="0.25"/>
    <row r="100" ht="13.2" x14ac:dyDescent="0.25"/>
    <row r="101" ht="13.2" x14ac:dyDescent="0.25"/>
    <row r="102" ht="13.2" x14ac:dyDescent="0.25"/>
    <row r="103" ht="13.2" x14ac:dyDescent="0.25"/>
    <row r="104" ht="13.2" x14ac:dyDescent="0.25"/>
    <row r="105" ht="13.2" x14ac:dyDescent="0.25"/>
    <row r="106" ht="13.2" x14ac:dyDescent="0.25"/>
    <row r="107" ht="13.2" x14ac:dyDescent="0.25"/>
    <row r="108" ht="13.2" x14ac:dyDescent="0.25"/>
    <row r="109" ht="13.2" x14ac:dyDescent="0.25"/>
    <row r="110" ht="13.2" x14ac:dyDescent="0.25"/>
    <row r="111" ht="13.2" x14ac:dyDescent="0.25"/>
    <row r="112" ht="13.2" x14ac:dyDescent="0.25"/>
    <row r="113" ht="13.2" x14ac:dyDescent="0.25"/>
    <row r="114" ht="13.2" x14ac:dyDescent="0.25"/>
    <row r="115" ht="13.2" x14ac:dyDescent="0.25"/>
    <row r="116" ht="13.2" x14ac:dyDescent="0.25"/>
    <row r="117" ht="13.2" x14ac:dyDescent="0.25"/>
    <row r="118" ht="13.2" x14ac:dyDescent="0.25"/>
    <row r="119" ht="13.2" x14ac:dyDescent="0.25"/>
    <row r="120" ht="13.2" x14ac:dyDescent="0.25"/>
    <row r="121" ht="13.2" x14ac:dyDescent="0.25"/>
    <row r="122" ht="13.2" x14ac:dyDescent="0.25"/>
    <row r="123" ht="13.2" x14ac:dyDescent="0.25"/>
    <row r="124" ht="13.2" x14ac:dyDescent="0.25"/>
    <row r="125" ht="13.2" x14ac:dyDescent="0.25"/>
    <row r="126" ht="13.2" x14ac:dyDescent="0.25"/>
    <row r="127" ht="13.2" x14ac:dyDescent="0.25"/>
    <row r="128" ht="13.2" x14ac:dyDescent="0.25"/>
    <row r="129" ht="13.2" x14ac:dyDescent="0.25"/>
    <row r="130" ht="13.2" x14ac:dyDescent="0.25"/>
    <row r="131" ht="13.2" x14ac:dyDescent="0.25"/>
    <row r="132" ht="13.2" x14ac:dyDescent="0.25"/>
    <row r="133" ht="13.2" x14ac:dyDescent="0.25"/>
    <row r="134" ht="13.2" x14ac:dyDescent="0.25"/>
    <row r="135" ht="13.2" x14ac:dyDescent="0.25"/>
    <row r="136" ht="13.2" x14ac:dyDescent="0.25"/>
    <row r="137" ht="13.2" x14ac:dyDescent="0.25"/>
    <row r="138" ht="13.2" x14ac:dyDescent="0.25"/>
    <row r="139" ht="13.2" x14ac:dyDescent="0.25"/>
    <row r="140" ht="13.2" x14ac:dyDescent="0.25"/>
    <row r="141" ht="13.2" x14ac:dyDescent="0.25"/>
    <row r="142" ht="13.2" x14ac:dyDescent="0.25"/>
    <row r="143" ht="13.2" x14ac:dyDescent="0.25"/>
    <row r="144" ht="13.2" x14ac:dyDescent="0.25"/>
    <row r="145" ht="13.2" x14ac:dyDescent="0.25"/>
    <row r="146" ht="13.2" x14ac:dyDescent="0.25"/>
    <row r="147" ht="13.2" x14ac:dyDescent="0.25"/>
    <row r="148" ht="13.2" x14ac:dyDescent="0.25"/>
    <row r="149" ht="13.2" x14ac:dyDescent="0.25"/>
    <row r="150" ht="13.2" x14ac:dyDescent="0.25"/>
    <row r="151" ht="13.2" x14ac:dyDescent="0.25"/>
    <row r="152" ht="13.2" x14ac:dyDescent="0.25"/>
    <row r="153" ht="13.2" x14ac:dyDescent="0.25"/>
    <row r="154" ht="13.2" x14ac:dyDescent="0.25"/>
    <row r="155" ht="13.2" x14ac:dyDescent="0.25"/>
    <row r="156" ht="13.2" x14ac:dyDescent="0.25"/>
    <row r="157" ht="13.2" x14ac:dyDescent="0.25"/>
    <row r="158" ht="13.2" x14ac:dyDescent="0.25"/>
    <row r="159" ht="13.2" x14ac:dyDescent="0.25"/>
    <row r="160" ht="13.2" x14ac:dyDescent="0.25"/>
    <row r="161" ht="13.2" x14ac:dyDescent="0.25"/>
    <row r="162" ht="13.2" x14ac:dyDescent="0.25"/>
    <row r="163" ht="13.2" x14ac:dyDescent="0.25"/>
    <row r="164" ht="13.2" x14ac:dyDescent="0.25"/>
    <row r="165" ht="13.2" x14ac:dyDescent="0.25"/>
    <row r="166" ht="13.2" x14ac:dyDescent="0.25"/>
    <row r="167" ht="13.2" x14ac:dyDescent="0.25"/>
    <row r="168" ht="13.2" x14ac:dyDescent="0.25"/>
    <row r="169" ht="13.2" x14ac:dyDescent="0.25"/>
    <row r="170" ht="13.2" x14ac:dyDescent="0.25"/>
    <row r="171" ht="13.2" x14ac:dyDescent="0.25"/>
    <row r="172" ht="13.2" x14ac:dyDescent="0.25"/>
    <row r="173" ht="13.2" x14ac:dyDescent="0.25"/>
    <row r="174" ht="13.2" x14ac:dyDescent="0.25"/>
    <row r="175" ht="13.2" x14ac:dyDescent="0.25"/>
    <row r="176" ht="13.2" x14ac:dyDescent="0.25"/>
    <row r="177" ht="13.2" x14ac:dyDescent="0.25"/>
    <row r="178" ht="13.2" x14ac:dyDescent="0.25"/>
    <row r="179" ht="13.2" x14ac:dyDescent="0.25"/>
    <row r="180" ht="13.2" x14ac:dyDescent="0.25"/>
    <row r="181" ht="13.2" x14ac:dyDescent="0.25"/>
    <row r="182" ht="13.2" x14ac:dyDescent="0.25"/>
    <row r="183" ht="13.2" x14ac:dyDescent="0.25"/>
    <row r="184" ht="13.2" x14ac:dyDescent="0.25"/>
    <row r="185" ht="13.2" x14ac:dyDescent="0.25"/>
    <row r="186" ht="13.2" x14ac:dyDescent="0.25"/>
    <row r="187" ht="13.2" x14ac:dyDescent="0.25"/>
    <row r="188" ht="13.2" x14ac:dyDescent="0.25"/>
    <row r="189" ht="13.2" x14ac:dyDescent="0.25"/>
    <row r="190" ht="13.2" x14ac:dyDescent="0.25"/>
    <row r="191" ht="13.2" x14ac:dyDescent="0.25"/>
    <row r="192" ht="13.2" x14ac:dyDescent="0.25"/>
    <row r="193" ht="13.2" x14ac:dyDescent="0.25"/>
    <row r="194" ht="13.2" x14ac:dyDescent="0.25"/>
    <row r="195" ht="13.2" x14ac:dyDescent="0.25"/>
    <row r="196" ht="13.2" x14ac:dyDescent="0.25"/>
    <row r="197" ht="13.2" x14ac:dyDescent="0.25"/>
    <row r="198" ht="13.2" x14ac:dyDescent="0.25"/>
    <row r="199" ht="13.2" x14ac:dyDescent="0.25"/>
    <row r="200" ht="13.2" x14ac:dyDescent="0.25"/>
    <row r="201" ht="13.2" x14ac:dyDescent="0.25"/>
    <row r="202" ht="13.2" x14ac:dyDescent="0.25"/>
    <row r="203" ht="13.2" x14ac:dyDescent="0.25"/>
    <row r="204" ht="13.2" x14ac:dyDescent="0.25"/>
    <row r="205" ht="13.2" x14ac:dyDescent="0.25"/>
    <row r="206" ht="13.2" x14ac:dyDescent="0.25"/>
    <row r="207" ht="13.2" x14ac:dyDescent="0.25"/>
    <row r="208" ht="13.2" x14ac:dyDescent="0.25"/>
    <row r="209" ht="13.2" x14ac:dyDescent="0.25"/>
    <row r="210" ht="13.2" x14ac:dyDescent="0.25"/>
    <row r="211" ht="13.2" x14ac:dyDescent="0.25"/>
    <row r="212" ht="13.2" x14ac:dyDescent="0.25"/>
    <row r="213" ht="13.2" x14ac:dyDescent="0.25"/>
    <row r="214" ht="13.2" x14ac:dyDescent="0.25"/>
    <row r="215" ht="13.2" x14ac:dyDescent="0.25"/>
    <row r="216" ht="13.2" x14ac:dyDescent="0.25"/>
    <row r="217" ht="13.2" x14ac:dyDescent="0.25"/>
    <row r="218" ht="13.2" x14ac:dyDescent="0.25"/>
    <row r="219" ht="13.2" x14ac:dyDescent="0.25"/>
    <row r="220" ht="13.2" x14ac:dyDescent="0.25"/>
    <row r="221" ht="13.2" x14ac:dyDescent="0.25"/>
    <row r="222" ht="13.2" x14ac:dyDescent="0.25"/>
    <row r="223" ht="13.2" x14ac:dyDescent="0.25"/>
    <row r="224" ht="13.2" x14ac:dyDescent="0.25"/>
    <row r="225" ht="13.2" x14ac:dyDescent="0.25"/>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99"/>
  <sheetViews>
    <sheetView zoomScaleNormal="100" workbookViewId="0">
      <selection activeCell="F31" sqref="F31"/>
    </sheetView>
  </sheetViews>
  <sheetFormatPr defaultColWidth="12.6640625" defaultRowHeight="15.75" customHeight="1" x14ac:dyDescent="0.25"/>
  <cols>
    <col min="1" max="1" width="12.6640625" bestFit="1" customWidth="1"/>
    <col min="2" max="2" width="12.33203125" bestFit="1" customWidth="1"/>
    <col min="3" max="3" width="13.44140625" bestFit="1" customWidth="1"/>
    <col min="4" max="4" width="21.44140625" bestFit="1" customWidth="1"/>
    <col min="5" max="5" width="17.109375" bestFit="1" customWidth="1"/>
    <col min="6" max="6" width="18.33203125" bestFit="1" customWidth="1"/>
    <col min="7" max="7" width="22.77734375" bestFit="1" customWidth="1"/>
    <col min="8" max="26" width="7.6640625" customWidth="1"/>
  </cols>
  <sheetData>
    <row r="1" spans="1:7" ht="15.75" customHeight="1" x14ac:dyDescent="0.25">
      <c r="A1" s="1" t="s">
        <v>4</v>
      </c>
      <c r="B1" s="1" t="s">
        <v>5</v>
      </c>
      <c r="C1" s="1" t="s">
        <v>6</v>
      </c>
      <c r="D1" s="1" t="s">
        <v>7</v>
      </c>
      <c r="E1" s="1" t="s">
        <v>8</v>
      </c>
      <c r="F1" s="1" t="s">
        <v>9</v>
      </c>
      <c r="G1" s="1" t="s">
        <v>10</v>
      </c>
    </row>
    <row r="2" spans="1:7" ht="15.75" customHeight="1" x14ac:dyDescent="0.25">
      <c r="A2" s="2" t="s">
        <v>11</v>
      </c>
      <c r="B2" s="2">
        <v>3580</v>
      </c>
      <c r="C2" s="3">
        <v>0.46373056994818651</v>
      </c>
      <c r="D2" s="3">
        <v>0.1042566317088217</v>
      </c>
      <c r="E2" s="2">
        <v>1</v>
      </c>
      <c r="F2" s="2">
        <v>13</v>
      </c>
      <c r="G2" s="2">
        <v>11</v>
      </c>
    </row>
    <row r="3" spans="1:7" ht="15.75" customHeight="1" x14ac:dyDescent="0.25">
      <c r="A3" s="2" t="s">
        <v>12</v>
      </c>
      <c r="B3" s="2">
        <v>2146</v>
      </c>
      <c r="C3" s="3">
        <v>0.42402687215965218</v>
      </c>
      <c r="D3" s="3">
        <v>-3.071364046973803E-2</v>
      </c>
      <c r="E3" s="2">
        <v>2</v>
      </c>
      <c r="F3" s="2">
        <v>15</v>
      </c>
      <c r="G3" s="2">
        <v>14</v>
      </c>
    </row>
    <row r="4" spans="1:7" ht="15.75" customHeight="1" x14ac:dyDescent="0.25">
      <c r="A4" s="2" t="s">
        <v>13</v>
      </c>
      <c r="B4" s="2">
        <v>1394</v>
      </c>
      <c r="C4" s="3">
        <v>0.49084507042253522</v>
      </c>
      <c r="D4" s="3">
        <v>-0.2106455266138165</v>
      </c>
      <c r="E4" s="2">
        <v>3</v>
      </c>
      <c r="F4" s="2">
        <v>10</v>
      </c>
      <c r="G4" s="2">
        <v>19</v>
      </c>
    </row>
    <row r="5" spans="1:7" ht="15.75" customHeight="1" x14ac:dyDescent="0.25">
      <c r="A5" s="2" t="s">
        <v>14</v>
      </c>
      <c r="B5" s="2">
        <v>1274</v>
      </c>
      <c r="C5" s="3">
        <v>0.8214055448098001</v>
      </c>
      <c r="D5" s="3">
        <v>4.8981481481481479</v>
      </c>
      <c r="E5" s="2">
        <v>4</v>
      </c>
      <c r="F5" s="2">
        <v>2</v>
      </c>
      <c r="G5" s="2">
        <v>1</v>
      </c>
    </row>
    <row r="6" spans="1:7" ht="15.75" customHeight="1" x14ac:dyDescent="0.25">
      <c r="A6" s="2" t="s">
        <v>15</v>
      </c>
      <c r="B6" s="2">
        <v>932</v>
      </c>
      <c r="C6" s="3">
        <v>0.48541666666666672</v>
      </c>
      <c r="D6" s="3">
        <v>-3.3195020746887967E-2</v>
      </c>
      <c r="E6" s="2">
        <v>5</v>
      </c>
      <c r="F6" s="2">
        <v>11</v>
      </c>
      <c r="G6" s="2">
        <v>15</v>
      </c>
    </row>
    <row r="7" spans="1:7" ht="15.75" customHeight="1" x14ac:dyDescent="0.25">
      <c r="A7" s="2" t="s">
        <v>16</v>
      </c>
      <c r="B7" s="2">
        <v>889</v>
      </c>
      <c r="C7" s="3">
        <v>0.64141414141414144</v>
      </c>
      <c r="D7" s="3">
        <v>0.53806228373702425</v>
      </c>
      <c r="E7" s="2">
        <v>6</v>
      </c>
      <c r="F7" s="2">
        <v>4</v>
      </c>
      <c r="G7" s="2">
        <v>5</v>
      </c>
    </row>
    <row r="8" spans="1:7" ht="15.75" customHeight="1" x14ac:dyDescent="0.25">
      <c r="A8" s="2" t="s">
        <v>17</v>
      </c>
      <c r="B8" s="2">
        <v>819</v>
      </c>
      <c r="C8" s="3">
        <v>0.50369003690036895</v>
      </c>
      <c r="D8" s="3">
        <v>0.18011527377521611</v>
      </c>
      <c r="E8" s="2">
        <v>7</v>
      </c>
      <c r="F8" s="2">
        <v>9</v>
      </c>
      <c r="G8" s="2">
        <v>10</v>
      </c>
    </row>
    <row r="9" spans="1:7" ht="15.75" customHeight="1" x14ac:dyDescent="0.25">
      <c r="A9" s="2" t="s">
        <v>18</v>
      </c>
      <c r="B9" s="2">
        <v>728</v>
      </c>
      <c r="C9" s="3">
        <v>0.56653696498054473</v>
      </c>
      <c r="D9" s="3">
        <v>-7.6142131979695438E-2</v>
      </c>
      <c r="E9" s="2">
        <v>8</v>
      </c>
      <c r="F9" s="2">
        <v>6</v>
      </c>
      <c r="G9" s="2">
        <v>16</v>
      </c>
    </row>
    <row r="10" spans="1:7" ht="15.75" customHeight="1" x14ac:dyDescent="0.25">
      <c r="A10" s="2" t="s">
        <v>19</v>
      </c>
      <c r="B10" s="2">
        <v>694</v>
      </c>
      <c r="C10" s="3">
        <v>0.56792144026186575</v>
      </c>
      <c r="D10" s="3">
        <v>0.42505133470225881</v>
      </c>
      <c r="E10" s="2">
        <v>9</v>
      </c>
      <c r="F10" s="2">
        <v>5</v>
      </c>
      <c r="G10" s="2">
        <v>7</v>
      </c>
    </row>
    <row r="11" spans="1:7" ht="15.75" customHeight="1" x14ac:dyDescent="0.25">
      <c r="A11" s="2" t="s">
        <v>20</v>
      </c>
      <c r="B11" s="2">
        <v>619</v>
      </c>
      <c r="C11" s="3">
        <v>0.71149425287356327</v>
      </c>
      <c r="D11" s="3">
        <v>0.45647058823529407</v>
      </c>
      <c r="E11" s="2">
        <v>10</v>
      </c>
      <c r="F11" s="2">
        <v>3</v>
      </c>
      <c r="G11" s="2">
        <v>6</v>
      </c>
    </row>
    <row r="12" spans="1:7" ht="15.75" customHeight="1" x14ac:dyDescent="0.25">
      <c r="A12" s="2" t="s">
        <v>21</v>
      </c>
      <c r="B12" s="2">
        <v>582</v>
      </c>
      <c r="C12" s="3">
        <v>0.43858327053504143</v>
      </c>
      <c r="D12" s="3">
        <v>8.6655112651646445E-3</v>
      </c>
      <c r="E12" s="2">
        <v>11</v>
      </c>
      <c r="F12" s="2">
        <v>14</v>
      </c>
      <c r="G12" s="2">
        <v>12</v>
      </c>
    </row>
    <row r="13" spans="1:7" ht="15.75" customHeight="1" x14ac:dyDescent="0.25">
      <c r="A13" s="2" t="s">
        <v>22</v>
      </c>
      <c r="B13" s="2">
        <v>575</v>
      </c>
      <c r="C13" s="3">
        <v>0.38746630727762799</v>
      </c>
      <c r="D13" s="3">
        <v>-8.2934609250398722E-2</v>
      </c>
      <c r="E13" s="2">
        <v>12</v>
      </c>
      <c r="F13" s="2">
        <v>17</v>
      </c>
      <c r="G13" s="2">
        <v>17</v>
      </c>
    </row>
    <row r="14" spans="1:7" ht="15.75" customHeight="1" x14ac:dyDescent="0.25">
      <c r="A14" s="2" t="s">
        <v>23</v>
      </c>
      <c r="B14" s="2">
        <v>464</v>
      </c>
      <c r="C14" s="3">
        <v>0.34678624813153958</v>
      </c>
      <c r="D14" s="3">
        <v>-9.727626459143969E-2</v>
      </c>
      <c r="E14" s="2">
        <v>13</v>
      </c>
      <c r="F14" s="2">
        <v>18</v>
      </c>
      <c r="G14" s="2">
        <v>18</v>
      </c>
    </row>
    <row r="15" spans="1:7" ht="15.75" customHeight="1" x14ac:dyDescent="0.25">
      <c r="A15" s="2" t="s">
        <v>24</v>
      </c>
      <c r="B15" s="2">
        <v>403</v>
      </c>
      <c r="C15" s="3">
        <v>0.4746760895170789</v>
      </c>
      <c r="D15" s="3">
        <v>0.24767801857585139</v>
      </c>
      <c r="E15" s="2">
        <v>14</v>
      </c>
      <c r="F15" s="2">
        <v>12</v>
      </c>
      <c r="G15" s="2">
        <v>9</v>
      </c>
    </row>
    <row r="16" spans="1:7" ht="15.75" customHeight="1" x14ac:dyDescent="0.25">
      <c r="A16" s="2" t="s">
        <v>25</v>
      </c>
      <c r="B16" s="2">
        <v>390</v>
      </c>
      <c r="C16" s="3">
        <v>0.41666666666666669</v>
      </c>
      <c r="D16" s="3">
        <v>-2.5575447570332479E-3</v>
      </c>
      <c r="E16" s="2">
        <v>16</v>
      </c>
      <c r="F16" s="2">
        <v>16</v>
      </c>
      <c r="G16" s="2">
        <v>13</v>
      </c>
    </row>
    <row r="17" spans="1:7" ht="15.75" customHeight="1" x14ac:dyDescent="0.25">
      <c r="A17" s="2" t="s">
        <v>26</v>
      </c>
      <c r="B17" s="2">
        <v>304</v>
      </c>
      <c r="C17" s="3">
        <v>0.53427065026362042</v>
      </c>
      <c r="D17" s="3">
        <v>0.55102040816326525</v>
      </c>
      <c r="E17" s="2">
        <v>17</v>
      </c>
      <c r="F17" s="2">
        <v>8</v>
      </c>
      <c r="G17" s="2">
        <v>4</v>
      </c>
    </row>
    <row r="18" spans="1:7" ht="15.75" customHeight="1" x14ac:dyDescent="0.25">
      <c r="A18" s="2" t="s">
        <v>27</v>
      </c>
      <c r="B18" s="2">
        <v>199</v>
      </c>
      <c r="C18" s="3">
        <v>0.54371584699453557</v>
      </c>
      <c r="D18" s="3">
        <v>0.7927927927927928</v>
      </c>
      <c r="E18" s="2">
        <v>18</v>
      </c>
      <c r="F18" s="2">
        <v>7</v>
      </c>
      <c r="G18" s="2">
        <v>3</v>
      </c>
    </row>
    <row r="19" spans="1:7" ht="15.75" customHeight="1" x14ac:dyDescent="0.25">
      <c r="A19" s="2" t="s">
        <v>28</v>
      </c>
      <c r="B19" s="2">
        <v>193</v>
      </c>
      <c r="C19" s="3">
        <v>0.20730397422126751</v>
      </c>
      <c r="D19" s="3">
        <v>-0.22800000000000001</v>
      </c>
      <c r="E19" s="2">
        <v>19</v>
      </c>
      <c r="F19" s="2">
        <v>21</v>
      </c>
      <c r="G19" s="2">
        <v>20</v>
      </c>
    </row>
    <row r="20" spans="1:7" ht="15.75" customHeight="1" x14ac:dyDescent="0.25">
      <c r="A20" s="2" t="s">
        <v>29</v>
      </c>
      <c r="B20" s="2">
        <v>42</v>
      </c>
      <c r="C20" s="3">
        <v>0.2245989304812834</v>
      </c>
      <c r="D20" s="3">
        <v>-0.58415841584158412</v>
      </c>
      <c r="E20" s="2">
        <v>20</v>
      </c>
      <c r="F20" s="2">
        <v>20</v>
      </c>
      <c r="G20" s="2">
        <v>21</v>
      </c>
    </row>
    <row r="21" spans="1:7" ht="15.75" customHeight="1" x14ac:dyDescent="0.25">
      <c r="A21" s="2" t="s">
        <v>30</v>
      </c>
      <c r="B21" s="2">
        <v>17</v>
      </c>
      <c r="C21" s="3">
        <v>0.85</v>
      </c>
      <c r="D21" s="3">
        <v>1.428571428571429</v>
      </c>
      <c r="E21" s="2">
        <v>21</v>
      </c>
      <c r="F21" s="2">
        <v>1</v>
      </c>
      <c r="G21" s="2">
        <v>2</v>
      </c>
    </row>
    <row r="24" spans="1:7" ht="15.75" customHeight="1" x14ac:dyDescent="0.25">
      <c r="B24" s="8" t="s">
        <v>98</v>
      </c>
      <c r="C24" s="8"/>
      <c r="D24" s="8"/>
      <c r="E24" s="8"/>
    </row>
    <row r="25" spans="1:7" ht="15.75" customHeight="1" x14ac:dyDescent="0.25">
      <c r="B25" s="8"/>
      <c r="C25" s="8"/>
      <c r="D25" s="8"/>
      <c r="E25" s="8"/>
    </row>
    <row r="26" spans="1:7" ht="15.75" customHeight="1" x14ac:dyDescent="0.25">
      <c r="B26" s="8"/>
      <c r="C26" s="8"/>
      <c r="D26" s="8"/>
      <c r="E26" s="8"/>
    </row>
    <row r="27" spans="1:7" ht="15.75" customHeight="1" x14ac:dyDescent="0.25">
      <c r="B27" s="8"/>
      <c r="C27" s="8"/>
      <c r="D27" s="8"/>
      <c r="E27" s="8"/>
    </row>
    <row r="28" spans="1:7" ht="15.75" customHeight="1" x14ac:dyDescent="0.25">
      <c r="B28" s="8"/>
      <c r="C28" s="8"/>
      <c r="D28" s="8"/>
      <c r="E28" s="8"/>
    </row>
    <row r="29" spans="1:7" ht="15.75" customHeight="1" x14ac:dyDescent="0.25">
      <c r="B29" s="8"/>
      <c r="C29" s="8"/>
      <c r="D29" s="8"/>
      <c r="E29" s="8"/>
    </row>
    <row r="30" spans="1:7" ht="15.75" customHeight="1" x14ac:dyDescent="0.25">
      <c r="B30" s="8"/>
      <c r="C30" s="8"/>
      <c r="D30" s="8"/>
      <c r="E30" s="8"/>
    </row>
    <row r="31" spans="1:7" ht="15.75" customHeight="1" x14ac:dyDescent="0.25">
      <c r="B31" s="8"/>
      <c r="C31" s="8"/>
      <c r="D31" s="8"/>
      <c r="E31" s="8"/>
    </row>
    <row r="45" ht="13.2" x14ac:dyDescent="0.25"/>
    <row r="46" ht="13.2" x14ac:dyDescent="0.25"/>
    <row r="47" ht="13.2" x14ac:dyDescent="0.25"/>
    <row r="48" ht="13.2" x14ac:dyDescent="0.25"/>
    <row r="49" ht="13.2" x14ac:dyDescent="0.25"/>
    <row r="50" ht="13.2" x14ac:dyDescent="0.25"/>
    <row r="51" ht="13.2" x14ac:dyDescent="0.25"/>
    <row r="52" ht="13.2" x14ac:dyDescent="0.25"/>
    <row r="53" ht="13.2" x14ac:dyDescent="0.25"/>
    <row r="54" ht="13.2" x14ac:dyDescent="0.25"/>
    <row r="55" ht="13.2" x14ac:dyDescent="0.25"/>
    <row r="56" ht="13.2" x14ac:dyDescent="0.25"/>
    <row r="57" ht="13.2" x14ac:dyDescent="0.25"/>
    <row r="58" ht="13.2" x14ac:dyDescent="0.25"/>
    <row r="59" ht="13.2" x14ac:dyDescent="0.25"/>
    <row r="60" ht="13.2" x14ac:dyDescent="0.25"/>
    <row r="61" ht="13.2" x14ac:dyDescent="0.25"/>
    <row r="62" ht="13.2" x14ac:dyDescent="0.25"/>
    <row r="63" ht="13.2" x14ac:dyDescent="0.25"/>
    <row r="64" ht="13.2" x14ac:dyDescent="0.25"/>
    <row r="65" ht="13.2" x14ac:dyDescent="0.25"/>
    <row r="66" ht="13.2" x14ac:dyDescent="0.25"/>
    <row r="67" ht="13.2" x14ac:dyDescent="0.25"/>
    <row r="68" ht="13.2" x14ac:dyDescent="0.25"/>
    <row r="69" ht="13.2" x14ac:dyDescent="0.25"/>
    <row r="70" ht="13.2" x14ac:dyDescent="0.25"/>
    <row r="71" ht="13.2" x14ac:dyDescent="0.25"/>
    <row r="72" ht="13.2" x14ac:dyDescent="0.25"/>
    <row r="73" ht="13.2" x14ac:dyDescent="0.25"/>
    <row r="74" ht="13.2" x14ac:dyDescent="0.25"/>
    <row r="75" ht="13.2" x14ac:dyDescent="0.25"/>
    <row r="76" ht="13.2" x14ac:dyDescent="0.25"/>
    <row r="77" ht="13.2" x14ac:dyDescent="0.25"/>
    <row r="78" ht="13.2" x14ac:dyDescent="0.25"/>
    <row r="79" ht="13.2" x14ac:dyDescent="0.25"/>
    <row r="80" ht="13.2" x14ac:dyDescent="0.25"/>
    <row r="81" ht="13.2" x14ac:dyDescent="0.25"/>
    <row r="82" ht="13.2" x14ac:dyDescent="0.25"/>
    <row r="83" ht="13.2" x14ac:dyDescent="0.25"/>
    <row r="84" ht="13.2" x14ac:dyDescent="0.25"/>
    <row r="85" ht="13.2" x14ac:dyDescent="0.25"/>
    <row r="86" ht="13.2" x14ac:dyDescent="0.25"/>
    <row r="87" ht="13.2" x14ac:dyDescent="0.25"/>
    <row r="88" ht="13.2" x14ac:dyDescent="0.25"/>
    <row r="89" ht="13.2" x14ac:dyDescent="0.25"/>
    <row r="90" ht="13.2" x14ac:dyDescent="0.25"/>
    <row r="91" ht="13.2" x14ac:dyDescent="0.25"/>
    <row r="92" ht="13.2" x14ac:dyDescent="0.25"/>
    <row r="93" ht="13.2" x14ac:dyDescent="0.25"/>
    <row r="94" ht="13.2" x14ac:dyDescent="0.25"/>
    <row r="95" ht="13.2" x14ac:dyDescent="0.25"/>
    <row r="96" ht="13.2" x14ac:dyDescent="0.25"/>
    <row r="97" ht="13.2" x14ac:dyDescent="0.25"/>
    <row r="98" ht="13.2" x14ac:dyDescent="0.25"/>
    <row r="99" ht="13.2" x14ac:dyDescent="0.25"/>
    <row r="100" ht="13.2" x14ac:dyDescent="0.25"/>
    <row r="101" ht="13.2" x14ac:dyDescent="0.25"/>
    <row r="102" ht="13.2" x14ac:dyDescent="0.25"/>
    <row r="103" ht="13.2" x14ac:dyDescent="0.25"/>
    <row r="104" ht="13.2" x14ac:dyDescent="0.25"/>
    <row r="105" ht="13.2" x14ac:dyDescent="0.25"/>
    <row r="106" ht="13.2" x14ac:dyDescent="0.25"/>
    <row r="107" ht="13.2" x14ac:dyDescent="0.25"/>
    <row r="108" ht="13.2" x14ac:dyDescent="0.25"/>
    <row r="109" ht="13.2" x14ac:dyDescent="0.25"/>
    <row r="110" ht="13.2" x14ac:dyDescent="0.25"/>
    <row r="111" ht="13.2" x14ac:dyDescent="0.25"/>
    <row r="112" ht="13.2" x14ac:dyDescent="0.25"/>
    <row r="113" ht="13.2" x14ac:dyDescent="0.25"/>
    <row r="114" ht="13.2" x14ac:dyDescent="0.25"/>
    <row r="115" ht="13.2" x14ac:dyDescent="0.25"/>
    <row r="116" ht="13.2" x14ac:dyDescent="0.25"/>
    <row r="117" ht="13.2" x14ac:dyDescent="0.25"/>
    <row r="118" ht="13.2" x14ac:dyDescent="0.25"/>
    <row r="119" ht="13.2" x14ac:dyDescent="0.25"/>
    <row r="120" ht="13.2" x14ac:dyDescent="0.25"/>
    <row r="121" ht="13.2" x14ac:dyDescent="0.25"/>
    <row r="122" ht="13.2" x14ac:dyDescent="0.25"/>
    <row r="123" ht="13.2" x14ac:dyDescent="0.25"/>
    <row r="124" ht="13.2" x14ac:dyDescent="0.25"/>
    <row r="125" ht="13.2" x14ac:dyDescent="0.25"/>
    <row r="126" ht="13.2" x14ac:dyDescent="0.25"/>
    <row r="127" ht="13.2" x14ac:dyDescent="0.25"/>
    <row r="128" ht="13.2" x14ac:dyDescent="0.25"/>
    <row r="129" ht="13.2" x14ac:dyDescent="0.25"/>
    <row r="130" ht="13.2" x14ac:dyDescent="0.25"/>
    <row r="131" ht="13.2" x14ac:dyDescent="0.25"/>
    <row r="132" ht="13.2" x14ac:dyDescent="0.25"/>
    <row r="133" ht="13.2" x14ac:dyDescent="0.25"/>
    <row r="134" ht="13.2" x14ac:dyDescent="0.25"/>
    <row r="135" ht="13.2" x14ac:dyDescent="0.25"/>
    <row r="136" ht="13.2" x14ac:dyDescent="0.25"/>
    <row r="137" ht="13.2" x14ac:dyDescent="0.25"/>
    <row r="138" ht="13.2" x14ac:dyDescent="0.25"/>
    <row r="139" ht="13.2" x14ac:dyDescent="0.25"/>
    <row r="140" ht="13.2" x14ac:dyDescent="0.25"/>
    <row r="141" ht="13.2" x14ac:dyDescent="0.25"/>
    <row r="142" ht="13.2" x14ac:dyDescent="0.25"/>
    <row r="143" ht="13.2" x14ac:dyDescent="0.25"/>
    <row r="144" ht="13.2" x14ac:dyDescent="0.25"/>
    <row r="145" ht="13.2" x14ac:dyDescent="0.25"/>
    <row r="146" ht="13.2" x14ac:dyDescent="0.25"/>
    <row r="147" ht="13.2" x14ac:dyDescent="0.25"/>
    <row r="148" ht="13.2" x14ac:dyDescent="0.25"/>
    <row r="149" ht="13.2" x14ac:dyDescent="0.25"/>
    <row r="150" ht="13.2" x14ac:dyDescent="0.25"/>
    <row r="151" ht="13.2" x14ac:dyDescent="0.25"/>
    <row r="152" ht="13.2" x14ac:dyDescent="0.25"/>
    <row r="153" ht="13.2" x14ac:dyDescent="0.25"/>
    <row r="154" ht="13.2" x14ac:dyDescent="0.25"/>
    <row r="155" ht="13.2" x14ac:dyDescent="0.25"/>
    <row r="156" ht="13.2" x14ac:dyDescent="0.25"/>
    <row r="157" ht="13.2" x14ac:dyDescent="0.25"/>
    <row r="158" ht="13.2" x14ac:dyDescent="0.25"/>
    <row r="159" ht="13.2" x14ac:dyDescent="0.25"/>
    <row r="160" ht="13.2" x14ac:dyDescent="0.25"/>
    <row r="161" ht="13.2" x14ac:dyDescent="0.25"/>
    <row r="162" ht="13.2" x14ac:dyDescent="0.25"/>
    <row r="163" ht="13.2" x14ac:dyDescent="0.25"/>
    <row r="164" ht="13.2" x14ac:dyDescent="0.25"/>
    <row r="165" ht="13.2" x14ac:dyDescent="0.25"/>
    <row r="166" ht="13.2" x14ac:dyDescent="0.25"/>
    <row r="167" ht="13.2" x14ac:dyDescent="0.25"/>
    <row r="168" ht="13.2" x14ac:dyDescent="0.25"/>
    <row r="169" ht="13.2" x14ac:dyDescent="0.25"/>
    <row r="170" ht="13.2" x14ac:dyDescent="0.25"/>
    <row r="171" ht="13.2" x14ac:dyDescent="0.25"/>
    <row r="172" ht="13.2" x14ac:dyDescent="0.25"/>
    <row r="173" ht="13.2" x14ac:dyDescent="0.25"/>
    <row r="174" ht="13.2" x14ac:dyDescent="0.25"/>
    <row r="175" ht="13.2" x14ac:dyDescent="0.25"/>
    <row r="176" ht="13.2" x14ac:dyDescent="0.25"/>
    <row r="177" ht="13.2" x14ac:dyDescent="0.25"/>
    <row r="178" ht="13.2" x14ac:dyDescent="0.25"/>
    <row r="179" ht="13.2" x14ac:dyDescent="0.25"/>
    <row r="180" ht="13.2" x14ac:dyDescent="0.25"/>
    <row r="181" ht="13.2" x14ac:dyDescent="0.25"/>
    <row r="182" ht="13.2" x14ac:dyDescent="0.25"/>
    <row r="183" ht="13.2" x14ac:dyDescent="0.25"/>
    <row r="184" ht="13.2" x14ac:dyDescent="0.25"/>
    <row r="185" ht="13.2" x14ac:dyDescent="0.25"/>
    <row r="186" ht="13.2" x14ac:dyDescent="0.25"/>
    <row r="187" ht="13.2" x14ac:dyDescent="0.25"/>
    <row r="188" ht="13.2" x14ac:dyDescent="0.25"/>
    <row r="189" ht="13.2" x14ac:dyDescent="0.25"/>
    <row r="190" ht="13.2" x14ac:dyDescent="0.25"/>
    <row r="191" ht="13.2" x14ac:dyDescent="0.25"/>
    <row r="192" ht="13.2" x14ac:dyDescent="0.25"/>
    <row r="193" ht="13.2" x14ac:dyDescent="0.25"/>
    <row r="194" ht="13.2" x14ac:dyDescent="0.25"/>
    <row r="195" ht="13.2" x14ac:dyDescent="0.25"/>
    <row r="196" ht="13.2" x14ac:dyDescent="0.25"/>
    <row r="197" ht="13.2" x14ac:dyDescent="0.25"/>
    <row r="198" ht="13.2" x14ac:dyDescent="0.25"/>
    <row r="199" ht="13.2" x14ac:dyDescent="0.25"/>
    <row r="200" ht="13.2" x14ac:dyDescent="0.25"/>
    <row r="201" ht="13.2" x14ac:dyDescent="0.25"/>
    <row r="202" ht="13.2" x14ac:dyDescent="0.25"/>
    <row r="203" ht="13.2" x14ac:dyDescent="0.25"/>
    <row r="204" ht="13.2" x14ac:dyDescent="0.25"/>
    <row r="205" ht="13.2" x14ac:dyDescent="0.25"/>
    <row r="206" ht="13.2" x14ac:dyDescent="0.25"/>
    <row r="207" ht="13.2" x14ac:dyDescent="0.25"/>
    <row r="208" ht="13.2" x14ac:dyDescent="0.25"/>
    <row r="209" ht="13.2" x14ac:dyDescent="0.25"/>
    <row r="210" ht="13.2" x14ac:dyDescent="0.25"/>
    <row r="211" ht="13.2" x14ac:dyDescent="0.25"/>
    <row r="212" ht="13.2" x14ac:dyDescent="0.25"/>
    <row r="213" ht="13.2" x14ac:dyDescent="0.25"/>
    <row r="214" ht="13.2" x14ac:dyDescent="0.25"/>
    <row r="215" ht="13.2" x14ac:dyDescent="0.25"/>
    <row r="216" ht="13.2" x14ac:dyDescent="0.25"/>
    <row r="217" ht="13.2" x14ac:dyDescent="0.25"/>
    <row r="218" ht="13.2" x14ac:dyDescent="0.25"/>
    <row r="219" ht="13.2" x14ac:dyDescent="0.25"/>
    <row r="220" ht="13.2" x14ac:dyDescent="0.25"/>
    <row r="221" ht="13.2" x14ac:dyDescent="0.25"/>
    <row r="222" ht="13.2" x14ac:dyDescent="0.25"/>
    <row r="223" ht="13.2" x14ac:dyDescent="0.25"/>
    <row r="224" ht="13.2" x14ac:dyDescent="0.25"/>
    <row r="225" ht="13.2" x14ac:dyDescent="0.25"/>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sheetData>
  <mergeCells count="1">
    <mergeCell ref="B24:E31"/>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D654A-89DB-6446-992F-0686DE438C90}">
  <dimension ref="A1:AH36"/>
  <sheetViews>
    <sheetView topLeftCell="E1" workbookViewId="0">
      <selection activeCell="AB22" sqref="AB22"/>
    </sheetView>
  </sheetViews>
  <sheetFormatPr defaultColWidth="11.5546875" defaultRowHeight="13.2" x14ac:dyDescent="0.25"/>
  <cols>
    <col min="3" max="3" width="4.6640625" customWidth="1"/>
    <col min="4" max="6" width="12.6640625"/>
    <col min="7" max="11" width="12.6640625" hidden="1"/>
    <col min="12" max="12" width="12.6640625"/>
    <col min="13" max="18" width="12.6640625" hidden="1"/>
    <col min="19" max="19" width="12.6640625"/>
    <col min="20" max="24" width="12.6640625" hidden="1"/>
    <col min="25" max="25" width="23.6640625" bestFit="1" customWidth="1"/>
    <col min="26" max="26" width="12.6640625"/>
    <col min="27" max="27" width="44.109375" customWidth="1"/>
    <col min="28" max="28" width="49.33203125" customWidth="1"/>
    <col min="29" max="29" width="77" bestFit="1" customWidth="1"/>
  </cols>
  <sheetData>
    <row r="1" spans="1:29" ht="14.4" x14ac:dyDescent="0.25">
      <c r="A1" s="4" t="s">
        <v>4</v>
      </c>
      <c r="B1" s="4" t="s">
        <v>99</v>
      </c>
      <c r="C1" s="4" t="s">
        <v>100</v>
      </c>
      <c r="D1" s="4" t="s">
        <v>101</v>
      </c>
      <c r="E1" s="4" t="s">
        <v>102</v>
      </c>
      <c r="F1" s="4" t="s">
        <v>103</v>
      </c>
      <c r="G1" s="4" t="s">
        <v>104</v>
      </c>
      <c r="H1" s="4" t="s">
        <v>105</v>
      </c>
      <c r="I1" s="4" t="s">
        <v>106</v>
      </c>
      <c r="J1" s="4" t="s">
        <v>107</v>
      </c>
      <c r="K1" s="4" t="s">
        <v>108</v>
      </c>
      <c r="L1" s="4" t="s">
        <v>109</v>
      </c>
      <c r="M1" s="4" t="s">
        <v>110</v>
      </c>
      <c r="N1" s="4" t="s">
        <v>111</v>
      </c>
      <c r="O1" s="4" t="s">
        <v>112</v>
      </c>
      <c r="P1" s="4" t="s">
        <v>113</v>
      </c>
      <c r="Q1" s="4" t="s">
        <v>114</v>
      </c>
      <c r="R1" s="4" t="s">
        <v>115</v>
      </c>
      <c r="S1" s="4" t="s">
        <v>116</v>
      </c>
      <c r="T1" s="4" t="s">
        <v>117</v>
      </c>
      <c r="U1" s="4" t="s">
        <v>118</v>
      </c>
      <c r="V1" s="4" t="s">
        <v>119</v>
      </c>
      <c r="W1" s="4" t="s">
        <v>120</v>
      </c>
      <c r="X1" s="4" t="s">
        <v>121</v>
      </c>
      <c r="Y1" s="4" t="s">
        <v>122</v>
      </c>
      <c r="Z1" s="4" t="s">
        <v>123</v>
      </c>
      <c r="AA1" s="4" t="s">
        <v>124</v>
      </c>
      <c r="AB1" s="4" t="s">
        <v>125</v>
      </c>
      <c r="AC1" s="4" t="s">
        <v>126</v>
      </c>
    </row>
    <row r="2" spans="1:29" ht="14.4" x14ac:dyDescent="0.3">
      <c r="A2" s="5" t="s">
        <v>13</v>
      </c>
      <c r="B2" s="5" t="s">
        <v>127</v>
      </c>
      <c r="C2" s="5" t="s">
        <v>128</v>
      </c>
      <c r="D2" s="6">
        <v>3</v>
      </c>
      <c r="E2" s="6">
        <v>20</v>
      </c>
      <c r="F2" s="6">
        <v>10</v>
      </c>
      <c r="G2" s="6">
        <v>1766</v>
      </c>
      <c r="H2" s="6">
        <v>1527</v>
      </c>
      <c r="I2" s="6">
        <v>1152</v>
      </c>
      <c r="J2" s="6">
        <v>1676</v>
      </c>
      <c r="K2" s="6">
        <v>1845</v>
      </c>
      <c r="L2" s="6">
        <v>6</v>
      </c>
      <c r="M2" s="6">
        <v>45.870130000000003</v>
      </c>
      <c r="N2" s="6">
        <v>47.600110000000001</v>
      </c>
      <c r="O2" s="6">
        <v>1.729984</v>
      </c>
      <c r="P2" s="6">
        <v>-5.09626</v>
      </c>
      <c r="Q2" s="6">
        <v>-11.468299999999999</v>
      </c>
      <c r="R2" s="6">
        <v>6.3720670000000004</v>
      </c>
      <c r="S2" s="5" t="s">
        <v>129</v>
      </c>
      <c r="T2" s="6">
        <v>2.464915</v>
      </c>
      <c r="U2" s="6">
        <v>-13.5334</v>
      </c>
      <c r="V2" s="6">
        <v>-24.558</v>
      </c>
      <c r="W2" s="6">
        <v>45.486109999999996</v>
      </c>
      <c r="X2" s="6">
        <v>3055.1410000000001</v>
      </c>
      <c r="Y2" s="5" t="s">
        <v>130</v>
      </c>
      <c r="Z2" s="6">
        <v>2</v>
      </c>
      <c r="AA2" s="5" t="s">
        <v>131</v>
      </c>
      <c r="AB2" s="5" t="s">
        <v>132</v>
      </c>
      <c r="AC2" s="5" t="s">
        <v>133</v>
      </c>
    </row>
    <row r="3" spans="1:29" ht="14.4" x14ac:dyDescent="0.3">
      <c r="A3" s="5" t="s">
        <v>22</v>
      </c>
      <c r="B3" s="5" t="s">
        <v>134</v>
      </c>
      <c r="C3" s="5" t="s">
        <v>128</v>
      </c>
      <c r="D3" s="6">
        <v>12</v>
      </c>
      <c r="E3" s="6">
        <v>19</v>
      </c>
      <c r="F3" s="6">
        <v>17</v>
      </c>
      <c r="G3" s="6">
        <v>627</v>
      </c>
      <c r="H3" s="6">
        <v>595</v>
      </c>
      <c r="I3" s="6">
        <v>525</v>
      </c>
      <c r="J3" s="6">
        <v>644</v>
      </c>
      <c r="K3" s="6">
        <v>944</v>
      </c>
      <c r="L3" s="6">
        <v>9</v>
      </c>
      <c r="M3" s="6">
        <v>37.455199999999998</v>
      </c>
      <c r="N3" s="6">
        <v>40.554160000000003</v>
      </c>
      <c r="O3" s="6">
        <v>3.0989589999999998</v>
      </c>
      <c r="P3" s="6">
        <v>2.7113239999999998</v>
      </c>
      <c r="Q3" s="6">
        <v>-9.8376300000000008</v>
      </c>
      <c r="R3" s="6">
        <v>12.548959999999999</v>
      </c>
      <c r="S3" s="5" t="s">
        <v>129</v>
      </c>
      <c r="T3" s="6">
        <v>1.9327639999999999</v>
      </c>
      <c r="U3" s="6">
        <v>-5.1036700000000002</v>
      </c>
      <c r="V3" s="6">
        <v>-11.764699999999999</v>
      </c>
      <c r="W3" s="6">
        <v>22.66667</v>
      </c>
      <c r="X3" s="6">
        <v>2361.9609999999998</v>
      </c>
      <c r="Y3" s="5" t="s">
        <v>135</v>
      </c>
      <c r="Z3" s="6">
        <v>2</v>
      </c>
      <c r="AA3" s="5" t="s">
        <v>136</v>
      </c>
      <c r="AB3" s="5" t="s">
        <v>137</v>
      </c>
      <c r="AC3" s="5" t="s">
        <v>133</v>
      </c>
    </row>
    <row r="4" spans="1:29" ht="14.4" x14ac:dyDescent="0.3">
      <c r="A4" s="5" t="s">
        <v>18</v>
      </c>
      <c r="B4" s="5" t="s">
        <v>134</v>
      </c>
      <c r="C4" s="5" t="s">
        <v>128</v>
      </c>
      <c r="D4" s="6">
        <v>8</v>
      </c>
      <c r="E4" s="6">
        <v>16</v>
      </c>
      <c r="F4" s="6">
        <v>8</v>
      </c>
      <c r="G4" s="6">
        <v>788</v>
      </c>
      <c r="H4" s="6">
        <v>643</v>
      </c>
      <c r="I4" s="6">
        <v>515</v>
      </c>
      <c r="J4" s="6">
        <v>873</v>
      </c>
      <c r="K4" s="6">
        <v>797</v>
      </c>
      <c r="L4" s="6">
        <v>9</v>
      </c>
      <c r="M4" s="6">
        <v>45.313400000000001</v>
      </c>
      <c r="N4" s="6">
        <v>52.275449999999999</v>
      </c>
      <c r="O4" s="6">
        <v>6.9620509999999998</v>
      </c>
      <c r="P4" s="6">
        <v>10.786799999999999</v>
      </c>
      <c r="Q4" s="6">
        <v>-16.1935</v>
      </c>
      <c r="R4" s="6">
        <v>26.98028</v>
      </c>
      <c r="S4" s="5" t="s">
        <v>129</v>
      </c>
      <c r="T4" s="6">
        <v>10.402290000000001</v>
      </c>
      <c r="U4" s="6">
        <v>-18.401</v>
      </c>
      <c r="V4" s="6">
        <v>-19.906700000000001</v>
      </c>
      <c r="W4" s="6">
        <v>69.514560000000003</v>
      </c>
      <c r="X4" s="6">
        <v>3086.2130000000002</v>
      </c>
      <c r="Y4" s="5" t="s">
        <v>130</v>
      </c>
      <c r="Z4" s="6">
        <v>2</v>
      </c>
      <c r="AA4" s="5" t="s">
        <v>138</v>
      </c>
      <c r="AB4" s="5" t="s">
        <v>139</v>
      </c>
      <c r="AC4" s="5" t="s">
        <v>140</v>
      </c>
    </row>
    <row r="5" spans="1:29" ht="14.4" x14ac:dyDescent="0.3">
      <c r="A5" s="5" t="s">
        <v>25</v>
      </c>
      <c r="B5" s="5" t="s">
        <v>141</v>
      </c>
      <c r="C5" s="5" t="s">
        <v>128</v>
      </c>
      <c r="D5" s="6">
        <v>14</v>
      </c>
      <c r="E5" s="6">
        <v>11</v>
      </c>
      <c r="F5" s="6">
        <v>14</v>
      </c>
      <c r="G5" s="6">
        <v>391</v>
      </c>
      <c r="H5" s="6">
        <v>360</v>
      </c>
      <c r="I5" s="6">
        <v>358</v>
      </c>
      <c r="J5" s="6">
        <v>509</v>
      </c>
      <c r="K5" s="6">
        <v>664</v>
      </c>
      <c r="L5" s="6">
        <v>8</v>
      </c>
      <c r="M5" s="6">
        <v>39.816699999999997</v>
      </c>
      <c r="N5" s="6">
        <v>43.393009999999997</v>
      </c>
      <c r="O5" s="6">
        <v>3.5763090000000002</v>
      </c>
      <c r="P5" s="6">
        <v>30.179030000000001</v>
      </c>
      <c r="Q5" s="6">
        <v>12.35195</v>
      </c>
      <c r="R5" s="6">
        <v>17.827079999999999</v>
      </c>
      <c r="S5" s="5" t="s">
        <v>129</v>
      </c>
      <c r="T5" s="6">
        <v>11.23161</v>
      </c>
      <c r="U5" s="6">
        <v>-7.9283900000000003</v>
      </c>
      <c r="V5" s="6">
        <v>-0.55556000000000005</v>
      </c>
      <c r="W5" s="6">
        <v>42.17877</v>
      </c>
      <c r="X5" s="6">
        <v>3170.1709999999998</v>
      </c>
      <c r="Y5" s="5" t="s">
        <v>130</v>
      </c>
      <c r="Z5" s="6">
        <v>2</v>
      </c>
      <c r="AA5" s="5" t="s">
        <v>142</v>
      </c>
      <c r="AB5" s="5" t="s">
        <v>143</v>
      </c>
      <c r="AC5" s="5" t="s">
        <v>133</v>
      </c>
    </row>
    <row r="6" spans="1:29" ht="14.4" x14ac:dyDescent="0.3">
      <c r="A6" s="5" t="s">
        <v>16</v>
      </c>
      <c r="B6" s="5" t="s">
        <v>144</v>
      </c>
      <c r="C6" s="5" t="s">
        <v>128</v>
      </c>
      <c r="D6" s="6">
        <v>7</v>
      </c>
      <c r="E6" s="6">
        <v>5</v>
      </c>
      <c r="F6" s="6">
        <v>4</v>
      </c>
      <c r="G6" s="6">
        <v>578</v>
      </c>
      <c r="H6" s="6">
        <v>550</v>
      </c>
      <c r="I6" s="6">
        <v>589</v>
      </c>
      <c r="J6" s="6">
        <v>1026</v>
      </c>
      <c r="K6" s="6">
        <v>619</v>
      </c>
      <c r="L6" s="6">
        <v>2</v>
      </c>
      <c r="M6" s="6">
        <v>52.166060000000002</v>
      </c>
      <c r="N6" s="6">
        <v>62.370820000000002</v>
      </c>
      <c r="O6" s="6">
        <v>10.20476</v>
      </c>
      <c r="P6" s="6">
        <v>77.508650000000003</v>
      </c>
      <c r="Q6" s="6">
        <v>16.792449999999999</v>
      </c>
      <c r="R6" s="6">
        <v>60.716200000000001</v>
      </c>
      <c r="S6" s="5" t="s">
        <v>145</v>
      </c>
      <c r="T6" s="6">
        <v>25.480060000000002</v>
      </c>
      <c r="U6" s="6">
        <v>-4.84429</v>
      </c>
      <c r="V6" s="6">
        <v>7.0909089999999999</v>
      </c>
      <c r="W6" s="6">
        <v>74.193550000000002</v>
      </c>
      <c r="X6" s="6">
        <v>4604.1000000000004</v>
      </c>
      <c r="Y6" s="5" t="s">
        <v>130</v>
      </c>
      <c r="Z6" s="6">
        <v>1</v>
      </c>
      <c r="AA6" s="5" t="s">
        <v>146</v>
      </c>
      <c r="AB6" s="5" t="s">
        <v>147</v>
      </c>
      <c r="AC6" s="5" t="s">
        <v>148</v>
      </c>
    </row>
    <row r="7" spans="1:29" ht="14.4" x14ac:dyDescent="0.3">
      <c r="A7" s="5" t="s">
        <v>21</v>
      </c>
      <c r="B7" s="5" t="s">
        <v>149</v>
      </c>
      <c r="C7" s="5" t="s">
        <v>128</v>
      </c>
      <c r="D7" s="6">
        <v>11</v>
      </c>
      <c r="E7" s="6">
        <v>12</v>
      </c>
      <c r="F7" s="6">
        <v>16</v>
      </c>
      <c r="G7" s="6">
        <v>577</v>
      </c>
      <c r="H7" s="6">
        <v>502</v>
      </c>
      <c r="I7" s="6">
        <v>433</v>
      </c>
      <c r="J7" s="6">
        <v>748</v>
      </c>
      <c r="K7" s="6">
        <v>1033</v>
      </c>
      <c r="L7" s="6">
        <v>9</v>
      </c>
      <c r="M7" s="6">
        <v>39.065669999999997</v>
      </c>
      <c r="N7" s="6">
        <v>41.99888</v>
      </c>
      <c r="O7" s="6">
        <v>2.9332029999999998</v>
      </c>
      <c r="P7" s="6">
        <v>29.636050000000001</v>
      </c>
      <c r="Q7" s="6">
        <v>14.77778</v>
      </c>
      <c r="R7" s="6">
        <v>14.858269999999999</v>
      </c>
      <c r="S7" s="5" t="s">
        <v>129</v>
      </c>
      <c r="T7" s="6">
        <v>15.334989999999999</v>
      </c>
      <c r="U7" s="6">
        <v>-12.9983</v>
      </c>
      <c r="V7" s="6">
        <v>-13.744999999999999</v>
      </c>
      <c r="W7" s="6">
        <v>72.748270000000005</v>
      </c>
      <c r="X7" s="6">
        <v>2610.7730000000001</v>
      </c>
      <c r="Y7" s="5" t="s">
        <v>130</v>
      </c>
      <c r="Z7" s="6">
        <v>2</v>
      </c>
      <c r="AA7" s="5" t="s">
        <v>150</v>
      </c>
      <c r="AB7" s="5" t="s">
        <v>151</v>
      </c>
      <c r="AC7" s="5" t="s">
        <v>133</v>
      </c>
    </row>
    <row r="8" spans="1:29" ht="14.4" x14ac:dyDescent="0.3">
      <c r="A8" s="5" t="s">
        <v>28</v>
      </c>
      <c r="B8" s="5" t="s">
        <v>127</v>
      </c>
      <c r="C8" s="5" t="s">
        <v>128</v>
      </c>
      <c r="D8" s="6">
        <v>18</v>
      </c>
      <c r="E8" s="6">
        <v>18</v>
      </c>
      <c r="F8" s="6">
        <v>21</v>
      </c>
      <c r="G8" s="6">
        <v>250</v>
      </c>
      <c r="H8" s="6">
        <v>220</v>
      </c>
      <c r="I8" s="6">
        <v>225</v>
      </c>
      <c r="J8" s="6">
        <v>261</v>
      </c>
      <c r="K8" s="6">
        <v>957</v>
      </c>
      <c r="L8" s="6">
        <v>9</v>
      </c>
      <c r="M8" s="6">
        <v>17.959769999999999</v>
      </c>
      <c r="N8" s="6">
        <v>21.428570000000001</v>
      </c>
      <c r="O8" s="6">
        <v>3.468801</v>
      </c>
      <c r="P8" s="6">
        <v>4.4000000000000004</v>
      </c>
      <c r="Q8" s="6">
        <v>-16.1996</v>
      </c>
      <c r="R8" s="6">
        <v>20.59965</v>
      </c>
      <c r="S8" s="5" t="s">
        <v>145</v>
      </c>
      <c r="T8" s="6">
        <v>2.0909089999999999</v>
      </c>
      <c r="U8" s="6">
        <v>-12</v>
      </c>
      <c r="V8" s="6">
        <v>2.2727270000000002</v>
      </c>
      <c r="W8" s="6">
        <v>16</v>
      </c>
      <c r="X8" s="6">
        <v>1503.5150000000001</v>
      </c>
      <c r="Y8" s="5" t="s">
        <v>135</v>
      </c>
      <c r="Z8" s="6">
        <v>2</v>
      </c>
      <c r="AA8" s="5" t="s">
        <v>152</v>
      </c>
      <c r="AB8" s="5" t="s">
        <v>153</v>
      </c>
      <c r="AC8" s="5" t="s">
        <v>148</v>
      </c>
    </row>
    <row r="9" spans="1:29" ht="14.4" x14ac:dyDescent="0.3">
      <c r="A9" s="5" t="s">
        <v>23</v>
      </c>
      <c r="B9" s="5" t="s">
        <v>154</v>
      </c>
      <c r="C9" s="5" t="s">
        <v>128</v>
      </c>
      <c r="D9" s="6">
        <v>13</v>
      </c>
      <c r="E9" s="6">
        <v>14</v>
      </c>
      <c r="F9" s="6">
        <v>18</v>
      </c>
      <c r="G9" s="6">
        <v>514</v>
      </c>
      <c r="H9" s="6">
        <v>429</v>
      </c>
      <c r="I9" s="6">
        <v>419</v>
      </c>
      <c r="J9" s="6">
        <v>602</v>
      </c>
      <c r="K9" s="6">
        <v>1290</v>
      </c>
      <c r="L9" s="6">
        <v>9</v>
      </c>
      <c r="M9" s="6">
        <v>27.664159999999999</v>
      </c>
      <c r="N9" s="6">
        <v>31.818180000000002</v>
      </c>
      <c r="O9" s="6">
        <v>4.1540270000000001</v>
      </c>
      <c r="P9" s="6">
        <v>17.120619999999999</v>
      </c>
      <c r="Q9" s="6">
        <v>-4.0178599999999998</v>
      </c>
      <c r="R9" s="6">
        <v>21.138480000000001</v>
      </c>
      <c r="S9" s="5" t="s">
        <v>129</v>
      </c>
      <c r="T9" s="6">
        <v>8.2691499999999998</v>
      </c>
      <c r="U9" s="6">
        <v>-16.536999999999999</v>
      </c>
      <c r="V9" s="6">
        <v>-2.331</v>
      </c>
      <c r="W9" s="6">
        <v>43.675420000000003</v>
      </c>
      <c r="X9" s="6">
        <v>1955.5239999999999</v>
      </c>
      <c r="Y9" s="5" t="s">
        <v>135</v>
      </c>
      <c r="Z9" s="6">
        <v>2</v>
      </c>
      <c r="AA9" s="5" t="s">
        <v>155</v>
      </c>
      <c r="AB9" s="5" t="s">
        <v>156</v>
      </c>
      <c r="AC9" s="5" t="s">
        <v>148</v>
      </c>
    </row>
    <row r="10" spans="1:29" ht="14.4" x14ac:dyDescent="0.3">
      <c r="A10" s="5" t="s">
        <v>24</v>
      </c>
      <c r="B10" s="5" t="s">
        <v>157</v>
      </c>
      <c r="C10" s="5" t="s">
        <v>128</v>
      </c>
      <c r="D10" s="6">
        <v>15</v>
      </c>
      <c r="E10" s="6">
        <v>10</v>
      </c>
      <c r="F10" s="6">
        <v>11</v>
      </c>
      <c r="G10" s="6">
        <v>323</v>
      </c>
      <c r="H10" s="6">
        <v>270</v>
      </c>
      <c r="I10" s="6">
        <v>220</v>
      </c>
      <c r="J10" s="6">
        <v>465</v>
      </c>
      <c r="K10" s="6">
        <v>517</v>
      </c>
      <c r="L10" s="6">
        <v>3</v>
      </c>
      <c r="M10" s="6">
        <v>55.308219999999999</v>
      </c>
      <c r="N10" s="6">
        <v>47.352339999999998</v>
      </c>
      <c r="O10" s="6">
        <v>-7.9558799999999996</v>
      </c>
      <c r="P10" s="6">
        <v>43.962850000000003</v>
      </c>
      <c r="Q10" s="6">
        <v>98.084289999999996</v>
      </c>
      <c r="R10" s="6">
        <v>-54.121400000000001</v>
      </c>
      <c r="S10" s="5" t="s">
        <v>129</v>
      </c>
      <c r="T10" s="6">
        <v>25.478819999999999</v>
      </c>
      <c r="U10" s="6">
        <v>-16.4087</v>
      </c>
      <c r="V10" s="6">
        <v>-18.5185</v>
      </c>
      <c r="W10" s="6">
        <v>111.36360000000001</v>
      </c>
      <c r="X10" s="6">
        <v>4375.9359999999997</v>
      </c>
      <c r="Y10" s="5" t="s">
        <v>130</v>
      </c>
      <c r="Z10" s="6">
        <v>2</v>
      </c>
      <c r="AA10" s="5" t="s">
        <v>158</v>
      </c>
      <c r="AB10" s="5" t="s">
        <v>159</v>
      </c>
      <c r="AC10" s="5" t="s">
        <v>160</v>
      </c>
    </row>
    <row r="11" spans="1:29" ht="14.4" x14ac:dyDescent="0.3">
      <c r="A11" s="5" t="s">
        <v>27</v>
      </c>
      <c r="B11" s="5" t="s">
        <v>161</v>
      </c>
      <c r="C11" s="5" t="s">
        <v>128</v>
      </c>
      <c r="D11" s="6">
        <v>19</v>
      </c>
      <c r="E11" s="6">
        <v>3</v>
      </c>
      <c r="F11" s="6">
        <v>5</v>
      </c>
      <c r="G11" s="6">
        <v>111</v>
      </c>
      <c r="H11" s="6">
        <v>134</v>
      </c>
      <c r="I11" s="6">
        <v>134</v>
      </c>
      <c r="J11" s="6">
        <v>240</v>
      </c>
      <c r="K11" s="6">
        <v>165</v>
      </c>
      <c r="L11" s="6">
        <v>8</v>
      </c>
      <c r="M11" s="6">
        <v>38.811190000000003</v>
      </c>
      <c r="N11" s="6">
        <v>59.259259999999998</v>
      </c>
      <c r="O11" s="6">
        <v>20.448070000000001</v>
      </c>
      <c r="P11" s="6">
        <v>116.2162</v>
      </c>
      <c r="Q11" s="6">
        <v>-5.7142900000000001</v>
      </c>
      <c r="R11" s="6">
        <v>121.93049999999999</v>
      </c>
      <c r="S11" s="5" t="s">
        <v>145</v>
      </c>
      <c r="T11" s="6">
        <v>33.275069999999999</v>
      </c>
      <c r="U11" s="6">
        <v>20.72072</v>
      </c>
      <c r="V11" s="6">
        <v>0</v>
      </c>
      <c r="W11" s="6">
        <v>79.104479999999995</v>
      </c>
      <c r="X11" s="6">
        <v>3893.4920000000002</v>
      </c>
      <c r="Y11" s="5" t="s">
        <v>130</v>
      </c>
      <c r="Z11" s="6">
        <v>1</v>
      </c>
      <c r="AA11" s="5" t="s">
        <v>162</v>
      </c>
      <c r="AB11" s="5" t="s">
        <v>163</v>
      </c>
      <c r="AC11" s="5" t="s">
        <v>148</v>
      </c>
    </row>
    <row r="12" spans="1:29" ht="14.4" x14ac:dyDescent="0.3">
      <c r="A12" s="5" t="s">
        <v>26</v>
      </c>
      <c r="B12" s="5" t="s">
        <v>164</v>
      </c>
      <c r="C12" s="5" t="s">
        <v>128</v>
      </c>
      <c r="D12" s="6">
        <v>17</v>
      </c>
      <c r="E12" s="6">
        <v>4</v>
      </c>
      <c r="F12" s="6">
        <v>7</v>
      </c>
      <c r="G12" s="6">
        <v>196</v>
      </c>
      <c r="H12" s="6">
        <v>169</v>
      </c>
      <c r="I12" s="6">
        <v>126</v>
      </c>
      <c r="J12" s="6">
        <v>395</v>
      </c>
      <c r="K12" s="6">
        <v>354</v>
      </c>
      <c r="L12" s="6">
        <v>10</v>
      </c>
      <c r="M12" s="6">
        <v>54.5961</v>
      </c>
      <c r="N12" s="6">
        <v>52.736980000000003</v>
      </c>
      <c r="O12" s="6">
        <v>-1.8591200000000001</v>
      </c>
      <c r="P12" s="6">
        <v>101.53060000000001</v>
      </c>
      <c r="Q12" s="6">
        <v>117.17789999999999</v>
      </c>
      <c r="R12" s="6">
        <v>-15.6473</v>
      </c>
      <c r="S12" s="5" t="s">
        <v>129</v>
      </c>
      <c r="T12" s="6">
        <v>58.090919999999997</v>
      </c>
      <c r="U12" s="6">
        <v>-13.775499999999999</v>
      </c>
      <c r="V12" s="6">
        <v>-25.4438</v>
      </c>
      <c r="W12" s="6">
        <v>213.49209999999999</v>
      </c>
      <c r="X12" s="6">
        <v>3166.3580000000002</v>
      </c>
      <c r="Y12" s="5" t="s">
        <v>130</v>
      </c>
      <c r="Z12" s="6">
        <v>2</v>
      </c>
      <c r="AA12" s="5" t="s">
        <v>165</v>
      </c>
      <c r="AB12" s="5" t="s">
        <v>166</v>
      </c>
      <c r="AC12" s="5" t="s">
        <v>160</v>
      </c>
    </row>
    <row r="13" spans="1:29" ht="14.4" x14ac:dyDescent="0.3">
      <c r="A13" s="5" t="s">
        <v>19</v>
      </c>
      <c r="B13" s="5" t="s">
        <v>167</v>
      </c>
      <c r="C13" s="5" t="s">
        <v>128</v>
      </c>
      <c r="D13" s="6">
        <v>9</v>
      </c>
      <c r="E13" s="6">
        <v>7</v>
      </c>
      <c r="F13" s="6">
        <v>6</v>
      </c>
      <c r="G13" s="6">
        <v>487</v>
      </c>
      <c r="H13" s="6">
        <v>397</v>
      </c>
      <c r="I13" s="6">
        <v>465</v>
      </c>
      <c r="J13" s="6">
        <v>815</v>
      </c>
      <c r="K13" s="6">
        <v>638</v>
      </c>
      <c r="L13" s="6">
        <v>10</v>
      </c>
      <c r="M13" s="6">
        <v>57.907249999999998</v>
      </c>
      <c r="N13" s="6">
        <v>56.090850000000003</v>
      </c>
      <c r="O13" s="6">
        <v>-1.8164100000000001</v>
      </c>
      <c r="P13" s="6">
        <v>67.351129999999998</v>
      </c>
      <c r="Q13" s="6">
        <v>80.225989999999996</v>
      </c>
      <c r="R13" s="6">
        <v>-12.8749</v>
      </c>
      <c r="S13" s="5" t="s">
        <v>145</v>
      </c>
      <c r="T13" s="6">
        <v>24.638929999999998</v>
      </c>
      <c r="U13" s="6">
        <v>-18.480499999999999</v>
      </c>
      <c r="V13" s="6">
        <v>17.12846</v>
      </c>
      <c r="W13" s="6">
        <v>75.268820000000005</v>
      </c>
      <c r="X13" s="6">
        <v>3511.471</v>
      </c>
      <c r="Y13" s="5" t="s">
        <v>130</v>
      </c>
      <c r="Z13" s="6">
        <v>2</v>
      </c>
      <c r="AA13" s="5" t="s">
        <v>168</v>
      </c>
      <c r="AB13" s="5" t="s">
        <v>169</v>
      </c>
      <c r="AC13" s="5" t="s">
        <v>160</v>
      </c>
    </row>
    <row r="14" spans="1:29" ht="14.4" x14ac:dyDescent="0.3">
      <c r="A14" s="5" t="s">
        <v>30</v>
      </c>
      <c r="B14" s="5" t="s">
        <v>170</v>
      </c>
      <c r="C14" s="5" t="s">
        <v>128</v>
      </c>
      <c r="D14" s="6">
        <v>21</v>
      </c>
      <c r="E14" s="6">
        <v>2</v>
      </c>
      <c r="F14" s="6">
        <v>2</v>
      </c>
      <c r="G14" s="6">
        <v>7</v>
      </c>
      <c r="H14" s="6">
        <v>7</v>
      </c>
      <c r="I14" s="6">
        <v>10</v>
      </c>
      <c r="J14" s="6">
        <v>30</v>
      </c>
      <c r="K14" s="6">
        <v>8</v>
      </c>
      <c r="L14" s="6">
        <v>2</v>
      </c>
      <c r="M14" s="6">
        <v>77.777780000000007</v>
      </c>
      <c r="N14" s="6">
        <v>78.947370000000006</v>
      </c>
      <c r="O14" s="6">
        <v>1.169591</v>
      </c>
      <c r="P14" s="6">
        <v>328.57139999999998</v>
      </c>
      <c r="Q14" s="6">
        <v>300</v>
      </c>
      <c r="R14" s="6">
        <v>28.571429999999999</v>
      </c>
      <c r="S14" s="5" t="s">
        <v>145</v>
      </c>
      <c r="T14" s="6">
        <v>80.952380000000005</v>
      </c>
      <c r="U14" s="6">
        <v>0</v>
      </c>
      <c r="V14" s="6">
        <v>42.857140000000001</v>
      </c>
      <c r="W14" s="6">
        <v>200</v>
      </c>
      <c r="X14" s="6">
        <v>6468.1440000000002</v>
      </c>
      <c r="Y14" s="5" t="s">
        <v>130</v>
      </c>
      <c r="Z14" s="6">
        <v>1</v>
      </c>
      <c r="AA14" s="5" t="s">
        <v>171</v>
      </c>
      <c r="AB14" s="5" t="s">
        <v>172</v>
      </c>
      <c r="AC14" s="5" t="s">
        <v>148</v>
      </c>
    </row>
    <row r="15" spans="1:29" ht="14.4" x14ac:dyDescent="0.3">
      <c r="A15" s="5" t="s">
        <v>20</v>
      </c>
      <c r="B15" s="5" t="s">
        <v>173</v>
      </c>
      <c r="C15" s="5" t="s">
        <v>128</v>
      </c>
      <c r="D15" s="6">
        <v>10</v>
      </c>
      <c r="E15" s="6">
        <v>6</v>
      </c>
      <c r="F15" s="6">
        <v>3</v>
      </c>
      <c r="G15" s="6">
        <v>425</v>
      </c>
      <c r="H15" s="6">
        <v>323</v>
      </c>
      <c r="I15" s="6">
        <v>330</v>
      </c>
      <c r="J15" s="6">
        <v>751</v>
      </c>
      <c r="K15" s="6">
        <v>296</v>
      </c>
      <c r="L15" s="6">
        <v>4</v>
      </c>
      <c r="M15" s="6">
        <v>54.278419999999997</v>
      </c>
      <c r="N15" s="6">
        <v>71.728750000000005</v>
      </c>
      <c r="O15" s="6">
        <v>17.450330000000001</v>
      </c>
      <c r="P15" s="6">
        <v>76.705879999999993</v>
      </c>
      <c r="Q15" s="6">
        <v>-17.3184</v>
      </c>
      <c r="R15" s="6">
        <v>94.024320000000003</v>
      </c>
      <c r="S15" s="5" t="s">
        <v>145</v>
      </c>
      <c r="T15" s="6">
        <v>35.24765</v>
      </c>
      <c r="U15" s="6">
        <v>-24</v>
      </c>
      <c r="V15" s="6">
        <v>2.1671830000000001</v>
      </c>
      <c r="W15" s="6">
        <v>127.5758</v>
      </c>
      <c r="X15" s="6">
        <v>5490.6229999999996</v>
      </c>
      <c r="Y15" s="5" t="s">
        <v>130</v>
      </c>
      <c r="Z15" s="6">
        <v>2</v>
      </c>
      <c r="AA15" s="5" t="s">
        <v>174</v>
      </c>
      <c r="AB15" s="5" t="s">
        <v>175</v>
      </c>
      <c r="AC15" s="5" t="s">
        <v>148</v>
      </c>
    </row>
    <row r="16" spans="1:29" ht="14.4" x14ac:dyDescent="0.3">
      <c r="A16" s="5" t="s">
        <v>12</v>
      </c>
      <c r="B16" s="5" t="s">
        <v>176</v>
      </c>
      <c r="C16" s="5" t="s">
        <v>128</v>
      </c>
      <c r="D16" s="6">
        <v>2</v>
      </c>
      <c r="E16" s="6">
        <v>15</v>
      </c>
      <c r="F16" s="6">
        <v>15</v>
      </c>
      <c r="G16" s="6">
        <v>2214</v>
      </c>
      <c r="H16" s="6">
        <v>1791</v>
      </c>
      <c r="I16" s="6">
        <v>1589</v>
      </c>
      <c r="J16" s="6">
        <v>2467</v>
      </c>
      <c r="K16" s="6">
        <v>3278</v>
      </c>
      <c r="L16" s="6">
        <v>10</v>
      </c>
      <c r="M16" s="6">
        <v>37.962960000000002</v>
      </c>
      <c r="N16" s="6">
        <v>42.941690000000001</v>
      </c>
      <c r="O16" s="6">
        <v>4.9787249999999998</v>
      </c>
      <c r="P16" s="6">
        <v>11.42728</v>
      </c>
      <c r="Q16" s="6">
        <v>-9.3974600000000006</v>
      </c>
      <c r="R16" s="6">
        <v>20.824739999999998</v>
      </c>
      <c r="S16" s="5" t="s">
        <v>129</v>
      </c>
      <c r="T16" s="6">
        <v>8.2901900000000008</v>
      </c>
      <c r="U16" s="6">
        <v>-19.105699999999999</v>
      </c>
      <c r="V16" s="6">
        <v>-11.278600000000001</v>
      </c>
      <c r="W16" s="6">
        <v>55.25488</v>
      </c>
      <c r="X16" s="6">
        <v>2625.6039999999998</v>
      </c>
      <c r="Y16" s="5" t="s">
        <v>130</v>
      </c>
      <c r="Z16" s="6">
        <v>2</v>
      </c>
      <c r="AA16" s="5" t="s">
        <v>35</v>
      </c>
      <c r="AB16" s="5" t="s">
        <v>177</v>
      </c>
      <c r="AC16" s="5" t="s">
        <v>140</v>
      </c>
    </row>
    <row r="17" spans="1:34" ht="14.4" x14ac:dyDescent="0.3">
      <c r="A17" s="5" t="s">
        <v>11</v>
      </c>
      <c r="B17" s="5" t="s">
        <v>178</v>
      </c>
      <c r="C17" s="5" t="s">
        <v>128</v>
      </c>
      <c r="D17" s="6">
        <v>1</v>
      </c>
      <c r="E17" s="6">
        <v>13</v>
      </c>
      <c r="F17" s="6">
        <v>12</v>
      </c>
      <c r="G17" s="6">
        <v>3242</v>
      </c>
      <c r="H17" s="6">
        <v>2976</v>
      </c>
      <c r="I17" s="6">
        <v>2355</v>
      </c>
      <c r="J17" s="6">
        <v>4099</v>
      </c>
      <c r="K17" s="6">
        <v>4653</v>
      </c>
      <c r="L17" s="6">
        <v>7</v>
      </c>
      <c r="M17" s="6">
        <v>47.494869999999999</v>
      </c>
      <c r="N17" s="6">
        <v>46.835009999999997</v>
      </c>
      <c r="O17" s="6">
        <v>-0.65986</v>
      </c>
      <c r="P17" s="6">
        <v>26.4343</v>
      </c>
      <c r="Q17" s="6">
        <v>29.827010000000001</v>
      </c>
      <c r="R17" s="6">
        <v>-3.3927100000000001</v>
      </c>
      <c r="S17" s="5" t="s">
        <v>129</v>
      </c>
      <c r="T17" s="6">
        <v>14.994479999999999</v>
      </c>
      <c r="U17" s="6">
        <v>-8.2048100000000002</v>
      </c>
      <c r="V17" s="6">
        <v>-20.866900000000001</v>
      </c>
      <c r="W17" s="6">
        <v>74.055199999999999</v>
      </c>
      <c r="X17" s="6">
        <v>2909.8429999999998</v>
      </c>
      <c r="Y17" s="5" t="s">
        <v>130</v>
      </c>
      <c r="Z17" s="6">
        <v>2</v>
      </c>
      <c r="AA17" s="5" t="s">
        <v>179</v>
      </c>
      <c r="AB17" s="5" t="s">
        <v>180</v>
      </c>
      <c r="AC17" s="5" t="s">
        <v>160</v>
      </c>
    </row>
    <row r="18" spans="1:34" ht="14.4" x14ac:dyDescent="0.3">
      <c r="A18" s="5" t="s">
        <v>17</v>
      </c>
      <c r="B18" s="5" t="s">
        <v>181</v>
      </c>
      <c r="C18" s="5" t="s">
        <v>128</v>
      </c>
      <c r="D18" s="6">
        <v>6</v>
      </c>
      <c r="E18" s="6">
        <v>8</v>
      </c>
      <c r="F18" s="6">
        <v>9</v>
      </c>
      <c r="G18" s="6">
        <v>694</v>
      </c>
      <c r="H18" s="6">
        <v>704</v>
      </c>
      <c r="I18" s="6">
        <v>553</v>
      </c>
      <c r="J18" s="6">
        <v>1027</v>
      </c>
      <c r="K18" s="6">
        <v>1078</v>
      </c>
      <c r="L18" s="6">
        <v>3</v>
      </c>
      <c r="M18" s="6">
        <v>42.681429999999999</v>
      </c>
      <c r="N18" s="6">
        <v>48.788600000000002</v>
      </c>
      <c r="O18" s="6">
        <v>6.1071720000000003</v>
      </c>
      <c r="P18" s="6">
        <v>47.982709999999997</v>
      </c>
      <c r="Q18" s="6">
        <v>15.665240000000001</v>
      </c>
      <c r="R18" s="6">
        <v>32.31747</v>
      </c>
      <c r="S18" s="5" t="s">
        <v>145</v>
      </c>
      <c r="T18" s="6">
        <v>21.90211</v>
      </c>
      <c r="U18" s="6">
        <v>1.440922</v>
      </c>
      <c r="V18" s="6">
        <v>-21.448899999999998</v>
      </c>
      <c r="W18" s="6">
        <v>85.714290000000005</v>
      </c>
      <c r="X18" s="6">
        <v>3645.1680000000001</v>
      </c>
      <c r="Y18" s="5" t="s">
        <v>130</v>
      </c>
      <c r="Z18" s="6">
        <v>1</v>
      </c>
      <c r="AA18" s="5" t="s">
        <v>182</v>
      </c>
      <c r="AB18" s="5" t="s">
        <v>183</v>
      </c>
      <c r="AC18" s="5" t="s">
        <v>148</v>
      </c>
    </row>
    <row r="19" spans="1:34" ht="14.4" x14ac:dyDescent="0.3">
      <c r="A19" s="5" t="s">
        <v>15</v>
      </c>
      <c r="B19" s="5" t="s">
        <v>184</v>
      </c>
      <c r="C19" s="5" t="s">
        <v>128</v>
      </c>
      <c r="D19" s="6">
        <v>5</v>
      </c>
      <c r="E19" s="6">
        <v>17</v>
      </c>
      <c r="F19" s="6">
        <v>13</v>
      </c>
      <c r="G19" s="6">
        <v>964</v>
      </c>
      <c r="H19" s="6">
        <v>777</v>
      </c>
      <c r="I19" s="6">
        <v>674</v>
      </c>
      <c r="J19" s="6">
        <v>1062</v>
      </c>
      <c r="K19" s="6">
        <v>1331</v>
      </c>
      <c r="L19" s="6">
        <v>6</v>
      </c>
      <c r="M19" s="6">
        <v>38.345269999999999</v>
      </c>
      <c r="N19" s="6">
        <v>44.379440000000002</v>
      </c>
      <c r="O19" s="6">
        <v>6.0341740000000001</v>
      </c>
      <c r="P19" s="6">
        <v>10.165979999999999</v>
      </c>
      <c r="Q19" s="6">
        <v>-14.129</v>
      </c>
      <c r="R19" s="6">
        <v>24.295010000000001</v>
      </c>
      <c r="S19" s="5" t="s">
        <v>129</v>
      </c>
      <c r="T19" s="6">
        <v>8.3041040000000006</v>
      </c>
      <c r="U19" s="6">
        <v>-19.398299999999999</v>
      </c>
      <c r="V19" s="6">
        <v>-13.2561</v>
      </c>
      <c r="W19" s="6">
        <v>57.566769999999998</v>
      </c>
      <c r="X19" s="6">
        <v>2761.7620000000002</v>
      </c>
      <c r="Y19" s="5" t="s">
        <v>130</v>
      </c>
      <c r="Z19" s="6">
        <v>1</v>
      </c>
      <c r="AA19" s="5" t="s">
        <v>185</v>
      </c>
      <c r="AB19" s="5" t="s">
        <v>186</v>
      </c>
      <c r="AC19" s="5" t="s">
        <v>140</v>
      </c>
    </row>
    <row r="20" spans="1:34" ht="14.4" x14ac:dyDescent="0.3">
      <c r="A20" s="5" t="s">
        <v>14</v>
      </c>
      <c r="B20" s="5" t="s">
        <v>187</v>
      </c>
      <c r="C20" s="5" t="s">
        <v>128</v>
      </c>
      <c r="D20" s="6">
        <v>4</v>
      </c>
      <c r="E20" s="6">
        <v>1</v>
      </c>
      <c r="F20" s="6">
        <v>1</v>
      </c>
      <c r="G20" s="6">
        <v>216</v>
      </c>
      <c r="H20" s="6">
        <v>139</v>
      </c>
      <c r="I20" s="6">
        <v>131</v>
      </c>
      <c r="J20" s="6">
        <v>1298</v>
      </c>
      <c r="K20" s="6">
        <v>223</v>
      </c>
      <c r="L20" s="6">
        <v>2</v>
      </c>
      <c r="M20" s="6">
        <v>12.91094</v>
      </c>
      <c r="N20" s="6">
        <v>85.338589999999996</v>
      </c>
      <c r="O20" s="6">
        <v>72.42765</v>
      </c>
      <c r="P20" s="6">
        <v>500.92590000000001</v>
      </c>
      <c r="Q20" s="6">
        <v>-84.694599999999994</v>
      </c>
      <c r="R20" s="6">
        <v>585.62049999999999</v>
      </c>
      <c r="S20" s="5" t="s">
        <v>129</v>
      </c>
      <c r="T20" s="6">
        <v>283.1454</v>
      </c>
      <c r="U20" s="6">
        <v>-35.648099999999999</v>
      </c>
      <c r="V20" s="6">
        <v>-5.7553999999999998</v>
      </c>
      <c r="W20" s="6">
        <v>890.83969999999999</v>
      </c>
      <c r="X20" s="6">
        <v>7407.2730000000001</v>
      </c>
      <c r="Y20" s="5" t="s">
        <v>130</v>
      </c>
      <c r="Z20" s="6">
        <v>1</v>
      </c>
      <c r="AA20" s="5" t="s">
        <v>188</v>
      </c>
      <c r="AB20" s="5" t="s">
        <v>189</v>
      </c>
      <c r="AC20" s="5" t="s">
        <v>148</v>
      </c>
    </row>
    <row r="21" spans="1:34" ht="14.4" x14ac:dyDescent="0.3">
      <c r="A21" s="5" t="s">
        <v>29</v>
      </c>
      <c r="B21" s="5" t="s">
        <v>190</v>
      </c>
      <c r="C21" s="5" t="s">
        <v>128</v>
      </c>
      <c r="D21" s="6">
        <v>20</v>
      </c>
      <c r="E21" s="6">
        <v>21</v>
      </c>
      <c r="F21" s="6">
        <v>20</v>
      </c>
      <c r="G21" s="6">
        <v>101</v>
      </c>
      <c r="H21" s="6">
        <v>78</v>
      </c>
      <c r="I21" s="6">
        <v>37</v>
      </c>
      <c r="J21" s="6">
        <v>42</v>
      </c>
      <c r="K21" s="6">
        <v>125</v>
      </c>
      <c r="L21" s="6">
        <v>6</v>
      </c>
      <c r="M21" s="6">
        <v>34.237290000000002</v>
      </c>
      <c r="N21" s="6">
        <v>25.149699999999999</v>
      </c>
      <c r="O21" s="6">
        <v>-9.0875900000000005</v>
      </c>
      <c r="P21" s="6">
        <v>-58.415799999999997</v>
      </c>
      <c r="Q21" s="6">
        <v>-35.567</v>
      </c>
      <c r="R21" s="6">
        <v>-22.848800000000001</v>
      </c>
      <c r="S21" s="5" t="s">
        <v>129</v>
      </c>
      <c r="T21" s="6">
        <v>-20.607600000000001</v>
      </c>
      <c r="U21" s="6">
        <v>-22.772300000000001</v>
      </c>
      <c r="V21" s="6">
        <v>-52.564100000000003</v>
      </c>
      <c r="W21" s="6">
        <v>13.51351</v>
      </c>
      <c r="X21" s="6">
        <v>1749.4349999999999</v>
      </c>
      <c r="Y21" s="5" t="s">
        <v>135</v>
      </c>
      <c r="Z21" s="6">
        <v>2</v>
      </c>
      <c r="AA21" s="5" t="s">
        <v>191</v>
      </c>
      <c r="AB21" s="5" t="s">
        <v>192</v>
      </c>
      <c r="AC21" s="5" t="s">
        <v>160</v>
      </c>
    </row>
    <row r="24" spans="1:34" ht="13.05" customHeight="1" x14ac:dyDescent="0.25">
      <c r="B24" s="8" t="s">
        <v>195</v>
      </c>
      <c r="C24" s="8"/>
      <c r="D24" s="8"/>
      <c r="E24" s="8"/>
      <c r="S24" s="8" t="s">
        <v>196</v>
      </c>
      <c r="T24" s="8"/>
      <c r="U24" s="8"/>
      <c r="V24" s="8"/>
      <c r="W24" s="8"/>
      <c r="X24" s="8"/>
      <c r="Y24" s="8"/>
      <c r="Z24" s="8"/>
      <c r="AA24" s="8" t="s">
        <v>194</v>
      </c>
    </row>
    <row r="25" spans="1:34" ht="13.05" customHeight="1" x14ac:dyDescent="0.25">
      <c r="B25" s="8"/>
      <c r="C25" s="8"/>
      <c r="D25" s="8"/>
      <c r="E25" s="8"/>
      <c r="S25" s="8"/>
      <c r="T25" s="8"/>
      <c r="U25" s="8"/>
      <c r="V25" s="8"/>
      <c r="W25" s="8"/>
      <c r="X25" s="8"/>
      <c r="Y25" s="8"/>
      <c r="Z25" s="8"/>
      <c r="AA25" s="8"/>
      <c r="AB25" s="8" t="s">
        <v>193</v>
      </c>
      <c r="AC25" s="8"/>
      <c r="AD25" s="8"/>
      <c r="AE25" s="8"/>
      <c r="AF25" s="8"/>
      <c r="AG25" s="8"/>
      <c r="AH25" s="8"/>
    </row>
    <row r="26" spans="1:34" ht="13.05" customHeight="1" x14ac:dyDescent="0.25">
      <c r="B26" s="8"/>
      <c r="C26" s="8"/>
      <c r="D26" s="8"/>
      <c r="E26" s="8"/>
      <c r="S26" s="8"/>
      <c r="T26" s="8"/>
      <c r="U26" s="8"/>
      <c r="V26" s="8"/>
      <c r="W26" s="8"/>
      <c r="X26" s="8"/>
      <c r="Y26" s="8"/>
      <c r="Z26" s="8"/>
      <c r="AA26" s="8"/>
      <c r="AB26" s="8"/>
      <c r="AC26" s="8"/>
      <c r="AD26" s="8"/>
      <c r="AE26" s="8"/>
      <c r="AF26" s="8"/>
      <c r="AG26" s="8"/>
      <c r="AH26" s="8"/>
    </row>
    <row r="27" spans="1:34" ht="13.05" customHeight="1" x14ac:dyDescent="0.25">
      <c r="B27" s="8"/>
      <c r="C27" s="8"/>
      <c r="D27" s="8"/>
      <c r="E27" s="8"/>
      <c r="S27" s="8"/>
      <c r="T27" s="8"/>
      <c r="U27" s="8"/>
      <c r="V27" s="8"/>
      <c r="W27" s="8"/>
      <c r="X27" s="8"/>
      <c r="Y27" s="8"/>
      <c r="Z27" s="8"/>
      <c r="AA27" s="8"/>
      <c r="AB27" s="8"/>
      <c r="AC27" s="8"/>
      <c r="AD27" s="8"/>
      <c r="AE27" s="8"/>
      <c r="AF27" s="8"/>
      <c r="AG27" s="8"/>
      <c r="AH27" s="8"/>
    </row>
    <row r="28" spans="1:34" ht="13.05" customHeight="1" x14ac:dyDescent="0.25">
      <c r="B28" s="8"/>
      <c r="C28" s="8"/>
      <c r="D28" s="8"/>
      <c r="E28" s="8"/>
      <c r="S28" s="8"/>
      <c r="T28" s="8"/>
      <c r="U28" s="8"/>
      <c r="V28" s="8"/>
      <c r="W28" s="8"/>
      <c r="X28" s="8"/>
      <c r="Y28" s="8"/>
      <c r="Z28" s="8"/>
      <c r="AA28" s="8"/>
      <c r="AB28" s="8"/>
      <c r="AC28" s="8"/>
      <c r="AD28" s="8"/>
      <c r="AE28" s="8"/>
      <c r="AF28" s="8"/>
      <c r="AG28" s="8"/>
      <c r="AH28" s="8"/>
    </row>
    <row r="29" spans="1:34" ht="13.05" customHeight="1" x14ac:dyDescent="0.25">
      <c r="B29" s="8"/>
      <c r="C29" s="8"/>
      <c r="D29" s="8"/>
      <c r="E29" s="8"/>
      <c r="S29" s="8"/>
      <c r="T29" s="8"/>
      <c r="U29" s="8"/>
      <c r="V29" s="8"/>
      <c r="W29" s="8"/>
      <c r="X29" s="8"/>
      <c r="Y29" s="8"/>
      <c r="Z29" s="8"/>
      <c r="AA29" s="8"/>
      <c r="AB29" s="8"/>
      <c r="AC29" s="8"/>
      <c r="AD29" s="8"/>
      <c r="AE29" s="8"/>
      <c r="AF29" s="8"/>
      <c r="AG29" s="8"/>
      <c r="AH29" s="8"/>
    </row>
    <row r="30" spans="1:34" ht="13.05" customHeight="1" x14ac:dyDescent="0.25">
      <c r="B30" s="8"/>
      <c r="C30" s="8"/>
      <c r="D30" s="8"/>
      <c r="E30" s="8"/>
      <c r="AA30" s="8"/>
      <c r="AB30" s="8"/>
      <c r="AC30" s="8"/>
      <c r="AD30" s="8"/>
      <c r="AE30" s="8"/>
      <c r="AF30" s="8"/>
      <c r="AG30" s="8"/>
      <c r="AH30" s="8"/>
    </row>
    <row r="31" spans="1:34" ht="13.05" customHeight="1" x14ac:dyDescent="0.25">
      <c r="B31" s="8"/>
      <c r="C31" s="8"/>
      <c r="D31" s="8"/>
      <c r="E31" s="8"/>
      <c r="AA31" s="8"/>
      <c r="AB31" s="8"/>
      <c r="AC31" s="8"/>
      <c r="AD31" s="8"/>
      <c r="AE31" s="8"/>
      <c r="AF31" s="8"/>
      <c r="AG31" s="8"/>
      <c r="AH31" s="8"/>
    </row>
    <row r="32" spans="1:34" ht="13.05" customHeight="1" x14ac:dyDescent="0.25">
      <c r="B32" s="8"/>
      <c r="C32" s="8"/>
      <c r="D32" s="8"/>
      <c r="E32" s="8"/>
      <c r="AA32" s="8"/>
      <c r="AB32" s="8"/>
      <c r="AC32" s="8"/>
      <c r="AD32" s="8"/>
      <c r="AE32" s="8"/>
      <c r="AF32" s="8"/>
      <c r="AG32" s="8"/>
      <c r="AH32" s="8"/>
    </row>
    <row r="33" spans="2:34" ht="13.05" customHeight="1" x14ac:dyDescent="0.25">
      <c r="B33" s="8"/>
      <c r="C33" s="8"/>
      <c r="D33" s="8"/>
      <c r="E33" s="8"/>
      <c r="AA33" s="8"/>
      <c r="AB33" s="8"/>
      <c r="AC33" s="8"/>
      <c r="AD33" s="8"/>
      <c r="AE33" s="8"/>
      <c r="AF33" s="8"/>
      <c r="AG33" s="8"/>
      <c r="AH33" s="8"/>
    </row>
    <row r="34" spans="2:34" ht="13.05" customHeight="1" x14ac:dyDescent="0.25">
      <c r="B34" s="8"/>
      <c r="C34" s="8"/>
      <c r="D34" s="8"/>
      <c r="E34" s="8"/>
      <c r="AA34" s="8"/>
      <c r="AB34" s="8"/>
      <c r="AC34" s="8"/>
      <c r="AD34" s="8"/>
      <c r="AE34" s="8"/>
      <c r="AF34" s="8"/>
      <c r="AG34" s="8"/>
      <c r="AH34" s="8"/>
    </row>
    <row r="35" spans="2:34" x14ac:dyDescent="0.25">
      <c r="B35" s="8"/>
      <c r="C35" s="8"/>
      <c r="D35" s="8"/>
      <c r="E35" s="8"/>
      <c r="AA35" s="8"/>
      <c r="AB35" s="8"/>
      <c r="AC35" s="8"/>
      <c r="AD35" s="8"/>
      <c r="AE35" s="8"/>
      <c r="AF35" s="8"/>
      <c r="AG35" s="8"/>
      <c r="AH35" s="8"/>
    </row>
    <row r="36" spans="2:34" x14ac:dyDescent="0.25">
      <c r="B36" s="8"/>
      <c r="C36" s="8"/>
      <c r="D36" s="8"/>
      <c r="E36" s="8"/>
    </row>
  </sheetData>
  <mergeCells count="4">
    <mergeCell ref="S24:Z29"/>
    <mergeCell ref="AB25:AH35"/>
    <mergeCell ref="AA24:AA35"/>
    <mergeCell ref="B24:E3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9"/>
  <sheetViews>
    <sheetView workbookViewId="0">
      <selection activeCell="B25" sqref="B25:E35"/>
    </sheetView>
  </sheetViews>
  <sheetFormatPr defaultColWidth="12.6640625" defaultRowHeight="15.75" customHeight="1" x14ac:dyDescent="0.25"/>
  <cols>
    <col min="1" max="1" width="12.6640625" bestFit="1" customWidth="1"/>
    <col min="2" max="2" width="21.44140625" bestFit="1" customWidth="1"/>
    <col min="3" max="3" width="23.6640625" bestFit="1" customWidth="1"/>
    <col min="4" max="5" width="13.44140625" bestFit="1" customWidth="1"/>
    <col min="6" max="6" width="27.77734375" bestFit="1" customWidth="1"/>
    <col min="7" max="7" width="21" customWidth="1"/>
    <col min="8" max="26" width="7.6640625" customWidth="1"/>
  </cols>
  <sheetData>
    <row r="1" spans="1:7" ht="15.75" customHeight="1" x14ac:dyDescent="0.25">
      <c r="A1" s="1" t="s">
        <v>4</v>
      </c>
      <c r="B1" s="1" t="s">
        <v>7</v>
      </c>
      <c r="C1" s="1" t="s">
        <v>31</v>
      </c>
      <c r="D1" s="1" t="s">
        <v>6</v>
      </c>
      <c r="E1" s="1" t="s">
        <v>32</v>
      </c>
      <c r="F1" s="1" t="s">
        <v>33</v>
      </c>
      <c r="G1" s="1" t="s">
        <v>34</v>
      </c>
    </row>
    <row r="2" spans="1:7" ht="15.75" customHeight="1" x14ac:dyDescent="0.25">
      <c r="A2" s="2" t="s">
        <v>13</v>
      </c>
      <c r="B2" s="3">
        <v>-0.2106455266138165</v>
      </c>
      <c r="C2" s="3">
        <v>-0.30614203454894429</v>
      </c>
      <c r="D2" s="3">
        <v>0.49084507042253522</v>
      </c>
      <c r="E2" s="3">
        <v>0.45870129870129872</v>
      </c>
      <c r="F2" s="3">
        <v>3.2143771721236503E-2</v>
      </c>
      <c r="G2" s="2" t="b">
        <v>1</v>
      </c>
    </row>
    <row r="3" spans="1:7" ht="15.75" customHeight="1" x14ac:dyDescent="0.25">
      <c r="A3" s="2" t="s">
        <v>22</v>
      </c>
      <c r="B3" s="3">
        <v>-8.2934609250398722E-2</v>
      </c>
      <c r="C3" s="3">
        <v>-0.1318051575931232</v>
      </c>
      <c r="D3" s="3">
        <v>0.38746630727762799</v>
      </c>
      <c r="E3" s="3">
        <v>0.37455197132616491</v>
      </c>
      <c r="F3" s="3">
        <v>1.291433595146319E-2</v>
      </c>
      <c r="G3" s="2" t="b">
        <v>1</v>
      </c>
    </row>
    <row r="4" spans="1:7" ht="15.75" customHeight="1" x14ac:dyDescent="0.25">
      <c r="A4" s="2" t="s">
        <v>18</v>
      </c>
      <c r="B4" s="3">
        <v>-7.6142131979695438E-2</v>
      </c>
      <c r="C4" s="3">
        <v>-0.41430073606729761</v>
      </c>
      <c r="D4" s="3">
        <v>0.56653696498054473</v>
      </c>
      <c r="E4" s="3">
        <v>0.45313398504887858</v>
      </c>
      <c r="F4" s="3">
        <v>0.11340297993166611</v>
      </c>
      <c r="G4" s="2" t="b">
        <v>1</v>
      </c>
    </row>
    <row r="5" spans="1:7" ht="15.75" customHeight="1" x14ac:dyDescent="0.25">
      <c r="A5" s="2" t="s">
        <v>25</v>
      </c>
      <c r="B5" s="3">
        <v>-2.5575447570332479E-3</v>
      </c>
      <c r="C5" s="3">
        <v>-7.6142131979695438E-2</v>
      </c>
      <c r="D5" s="3">
        <v>0.41666666666666669</v>
      </c>
      <c r="E5" s="3">
        <v>0.39816700610997963</v>
      </c>
      <c r="F5" s="3">
        <v>1.8499660556687059E-2</v>
      </c>
      <c r="G5" s="2" t="b">
        <v>1</v>
      </c>
    </row>
    <row r="6" spans="1:7" ht="15.75" customHeight="1" x14ac:dyDescent="0.25">
      <c r="A6" s="2" t="s">
        <v>16</v>
      </c>
      <c r="B6" s="3">
        <v>0.53806228373702425</v>
      </c>
      <c r="C6" s="3">
        <v>-6.2264150943396233E-2</v>
      </c>
      <c r="D6" s="3">
        <v>0.64141414141414144</v>
      </c>
      <c r="E6" s="3">
        <v>0.52166064981949456</v>
      </c>
      <c r="F6" s="3">
        <v>0.1197534915946469</v>
      </c>
      <c r="G6" s="2" t="b">
        <v>1</v>
      </c>
    </row>
    <row r="7" spans="1:7" ht="15.75" customHeight="1" x14ac:dyDescent="0.25">
      <c r="A7" s="2" t="s">
        <v>21</v>
      </c>
      <c r="B7" s="3">
        <v>8.6655112651646445E-3</v>
      </c>
      <c r="C7" s="3">
        <v>-0.17222222222222219</v>
      </c>
      <c r="D7" s="3">
        <v>0.43858327053504143</v>
      </c>
      <c r="E7" s="3">
        <v>0.39065673662830058</v>
      </c>
      <c r="F7" s="3">
        <v>4.7926533906740842E-2</v>
      </c>
      <c r="G7" s="2" t="b">
        <v>1</v>
      </c>
    </row>
    <row r="8" spans="1:7" ht="15.75" customHeight="1" x14ac:dyDescent="0.25">
      <c r="A8" s="2" t="s">
        <v>28</v>
      </c>
      <c r="B8" s="3">
        <v>-0.22800000000000001</v>
      </c>
      <c r="C8" s="3">
        <v>-0.35376532399299482</v>
      </c>
      <c r="D8" s="3">
        <v>0.20730397422126751</v>
      </c>
      <c r="E8" s="3">
        <v>0.1795977011494253</v>
      </c>
      <c r="F8" s="3">
        <v>2.7706273071842171E-2</v>
      </c>
      <c r="G8" s="2" t="b">
        <v>1</v>
      </c>
    </row>
    <row r="9" spans="1:7" ht="15.75" customHeight="1" x14ac:dyDescent="0.25">
      <c r="A9" s="2" t="s">
        <v>23</v>
      </c>
      <c r="B9" s="3">
        <v>-9.727626459143969E-2</v>
      </c>
      <c r="C9" s="3">
        <v>-0.34970238095238088</v>
      </c>
      <c r="D9" s="3">
        <v>0.34678624813153958</v>
      </c>
      <c r="E9" s="3">
        <v>0.27664155005382129</v>
      </c>
      <c r="F9" s="3">
        <v>7.0144698077718337E-2</v>
      </c>
      <c r="G9" s="2" t="b">
        <v>1</v>
      </c>
    </row>
    <row r="10" spans="1:7" ht="15.75" customHeight="1" x14ac:dyDescent="0.25">
      <c r="A10" s="2" t="s">
        <v>24</v>
      </c>
      <c r="B10" s="3">
        <v>0.24767801857585139</v>
      </c>
      <c r="C10" s="3">
        <v>0.70881226053639845</v>
      </c>
      <c r="D10" s="3">
        <v>0.4746760895170789</v>
      </c>
      <c r="E10" s="3">
        <v>0.55308219178082196</v>
      </c>
      <c r="F10" s="3">
        <v>-7.840610226374306E-2</v>
      </c>
      <c r="G10" s="2" t="b">
        <v>0</v>
      </c>
    </row>
    <row r="11" spans="1:7" ht="15.75" customHeight="1" x14ac:dyDescent="0.25">
      <c r="A11" s="2" t="s">
        <v>27</v>
      </c>
      <c r="B11" s="3">
        <v>0.7927927927927928</v>
      </c>
      <c r="C11" s="3">
        <v>-4.5714285714285707E-2</v>
      </c>
      <c r="D11" s="3">
        <v>0.54371584699453557</v>
      </c>
      <c r="E11" s="3">
        <v>0.38811188811188813</v>
      </c>
      <c r="F11" s="3">
        <v>0.15560395888264739</v>
      </c>
      <c r="G11" s="2" t="b">
        <v>1</v>
      </c>
    </row>
    <row r="12" spans="1:7" ht="15.75" customHeight="1" x14ac:dyDescent="0.25">
      <c r="A12" s="2" t="s">
        <v>26</v>
      </c>
      <c r="B12" s="3">
        <v>0.55102040816326525</v>
      </c>
      <c r="C12" s="3">
        <v>0.62576687116564422</v>
      </c>
      <c r="D12" s="3">
        <v>0.53427065026362042</v>
      </c>
      <c r="E12" s="3">
        <v>0.54596100278551529</v>
      </c>
      <c r="F12" s="3">
        <v>-1.1690352521894881E-2</v>
      </c>
      <c r="G12" s="2" t="b">
        <v>0</v>
      </c>
    </row>
    <row r="13" spans="1:7" ht="15.75" customHeight="1" x14ac:dyDescent="0.25">
      <c r="A13" s="2" t="s">
        <v>19</v>
      </c>
      <c r="B13" s="3">
        <v>0.42505133470225881</v>
      </c>
      <c r="C13" s="3">
        <v>0.49152542372881358</v>
      </c>
      <c r="D13" s="3">
        <v>0.56792144026186575</v>
      </c>
      <c r="E13" s="3">
        <v>0.5790725326991677</v>
      </c>
      <c r="F13" s="3">
        <v>-1.1151092437301949E-2</v>
      </c>
      <c r="G13" s="2" t="b">
        <v>0</v>
      </c>
    </row>
    <row r="14" spans="1:7" ht="15.75" customHeight="1" x14ac:dyDescent="0.25">
      <c r="A14" s="2" t="s">
        <v>30</v>
      </c>
      <c r="B14" s="3">
        <v>1.428571428571429</v>
      </c>
      <c r="C14" s="3">
        <v>0.5</v>
      </c>
      <c r="D14" s="3">
        <v>0.85</v>
      </c>
      <c r="E14" s="3">
        <v>0.77777777777777779</v>
      </c>
      <c r="F14" s="3">
        <v>7.2222222222222188E-2</v>
      </c>
      <c r="G14" s="2" t="b">
        <v>1</v>
      </c>
    </row>
    <row r="15" spans="1:7" ht="15.75" customHeight="1" x14ac:dyDescent="0.25">
      <c r="A15" s="2" t="s">
        <v>20</v>
      </c>
      <c r="B15" s="3">
        <v>0.45647058823529407</v>
      </c>
      <c r="C15" s="3">
        <v>-0.2988826815642458</v>
      </c>
      <c r="D15" s="3">
        <v>0.71149425287356327</v>
      </c>
      <c r="E15" s="3">
        <v>0.54278416347381864</v>
      </c>
      <c r="F15" s="3">
        <v>0.16871008939974461</v>
      </c>
      <c r="G15" s="2" t="b">
        <v>1</v>
      </c>
    </row>
    <row r="16" spans="1:7" ht="15.75" customHeight="1" x14ac:dyDescent="0.25">
      <c r="A16" s="2" t="s">
        <v>12</v>
      </c>
      <c r="B16" s="3">
        <v>-3.071364046973803E-2</v>
      </c>
      <c r="C16" s="3">
        <v>-0.19430624654505249</v>
      </c>
      <c r="D16" s="3">
        <v>0.42402687215965218</v>
      </c>
      <c r="E16" s="3">
        <v>0.37962962962962971</v>
      </c>
      <c r="F16" s="3">
        <v>4.4397242530022578E-2</v>
      </c>
      <c r="G16" s="2" t="b">
        <v>1</v>
      </c>
    </row>
    <row r="17" spans="1:7" ht="15.75" customHeight="1" x14ac:dyDescent="0.25">
      <c r="A17" s="2" t="s">
        <v>11</v>
      </c>
      <c r="B17" s="3">
        <v>0.1042566317088217</v>
      </c>
      <c r="C17" s="3">
        <v>0.1551339285714286</v>
      </c>
      <c r="D17" s="3">
        <v>0.46373056994818651</v>
      </c>
      <c r="E17" s="3">
        <v>0.47494872546147082</v>
      </c>
      <c r="F17" s="3">
        <v>-1.121815551328431E-2</v>
      </c>
      <c r="G17" s="2" t="b">
        <v>0</v>
      </c>
    </row>
    <row r="18" spans="1:7" ht="15.75" customHeight="1" x14ac:dyDescent="0.25">
      <c r="A18" s="2" t="s">
        <v>17</v>
      </c>
      <c r="B18" s="3">
        <v>0.18011527377521611</v>
      </c>
      <c r="C18" s="3">
        <v>-0.1341201716738197</v>
      </c>
      <c r="D18" s="3">
        <v>0.50369003690036895</v>
      </c>
      <c r="E18" s="3">
        <v>0.42681426814268142</v>
      </c>
      <c r="F18" s="3">
        <v>7.6875768757687535E-2</v>
      </c>
      <c r="G18" s="2" t="b">
        <v>1</v>
      </c>
    </row>
    <row r="19" spans="1:7" ht="15.75" customHeight="1" x14ac:dyDescent="0.25">
      <c r="A19" s="2" t="s">
        <v>15</v>
      </c>
      <c r="B19" s="3">
        <v>-3.3195020746887967E-2</v>
      </c>
      <c r="C19" s="3">
        <v>-0.36258064516129029</v>
      </c>
      <c r="D19" s="3">
        <v>0.48541666666666672</v>
      </c>
      <c r="E19" s="3">
        <v>0.38345266507557679</v>
      </c>
      <c r="F19" s="3">
        <v>0.1019640015910899</v>
      </c>
      <c r="G19" s="2" t="b">
        <v>1</v>
      </c>
    </row>
    <row r="20" spans="1:7" ht="15.75" customHeight="1" x14ac:dyDescent="0.25">
      <c r="A20" s="2" t="s">
        <v>14</v>
      </c>
      <c r="B20" s="3">
        <v>4.8981481481481479</v>
      </c>
      <c r="C20" s="3">
        <v>-0.80988332189430334</v>
      </c>
      <c r="D20" s="3">
        <v>0.8214055448098001</v>
      </c>
      <c r="E20" s="3">
        <v>0.12910938433950989</v>
      </c>
      <c r="F20" s="3">
        <v>0.69229616047029019</v>
      </c>
      <c r="G20" s="2" t="b">
        <v>1</v>
      </c>
    </row>
    <row r="21" spans="1:7" ht="15.75" customHeight="1" x14ac:dyDescent="0.25">
      <c r="A21" s="2" t="s">
        <v>29</v>
      </c>
      <c r="B21" s="3">
        <v>-0.58415841584158412</v>
      </c>
      <c r="C21" s="3">
        <v>-0.25257731958762891</v>
      </c>
      <c r="D21" s="3">
        <v>0.2245989304812834</v>
      </c>
      <c r="E21" s="3">
        <v>0.34237288135593219</v>
      </c>
      <c r="F21" s="3">
        <v>-0.1177739508746488</v>
      </c>
      <c r="G21" s="2" t="b">
        <v>0</v>
      </c>
    </row>
    <row r="25" spans="1:7" ht="15.75" customHeight="1" x14ac:dyDescent="0.25">
      <c r="B25" s="8" t="s">
        <v>97</v>
      </c>
      <c r="C25" s="8"/>
      <c r="D25" s="8"/>
      <c r="E25" s="8"/>
    </row>
    <row r="26" spans="1:7" ht="15.75" customHeight="1" x14ac:dyDescent="0.25">
      <c r="B26" s="8"/>
      <c r="C26" s="8"/>
      <c r="D26" s="8"/>
      <c r="E26" s="8"/>
    </row>
    <row r="27" spans="1:7" ht="15.75" customHeight="1" x14ac:dyDescent="0.25">
      <c r="B27" s="8"/>
      <c r="C27" s="8"/>
      <c r="D27" s="8"/>
      <c r="E27" s="8"/>
    </row>
    <row r="28" spans="1:7" ht="15.75" customHeight="1" x14ac:dyDescent="0.25">
      <c r="B28" s="8"/>
      <c r="C28" s="8"/>
      <c r="D28" s="8"/>
      <c r="E28" s="8"/>
    </row>
    <row r="29" spans="1:7" ht="15.75" customHeight="1" x14ac:dyDescent="0.25">
      <c r="B29" s="8"/>
      <c r="C29" s="8"/>
      <c r="D29" s="8"/>
      <c r="E29" s="8"/>
    </row>
    <row r="30" spans="1:7" ht="15.75" customHeight="1" x14ac:dyDescent="0.25">
      <c r="B30" s="8"/>
      <c r="C30" s="8"/>
      <c r="D30" s="8"/>
      <c r="E30" s="8"/>
    </row>
    <row r="31" spans="1:7" ht="15.75" customHeight="1" x14ac:dyDescent="0.25">
      <c r="B31" s="8"/>
      <c r="C31" s="8"/>
      <c r="D31" s="8"/>
      <c r="E31" s="8"/>
    </row>
    <row r="32" spans="1:7" ht="15.75" customHeight="1" x14ac:dyDescent="0.25">
      <c r="B32" s="8"/>
      <c r="C32" s="8"/>
      <c r="D32" s="8"/>
      <c r="E32" s="8"/>
    </row>
    <row r="33" spans="2:5" ht="15.75" customHeight="1" x14ac:dyDescent="0.25">
      <c r="B33" s="8"/>
      <c r="C33" s="8"/>
      <c r="D33" s="8"/>
      <c r="E33" s="8"/>
    </row>
    <row r="34" spans="2:5" ht="15.75" customHeight="1" x14ac:dyDescent="0.25">
      <c r="B34" s="8"/>
      <c r="C34" s="8"/>
      <c r="D34" s="8"/>
      <c r="E34" s="8"/>
    </row>
    <row r="35" spans="2:5" ht="15.75" customHeight="1" x14ac:dyDescent="0.25">
      <c r="B35" s="8"/>
      <c r="C35" s="8"/>
      <c r="D35" s="8"/>
      <c r="E35" s="8"/>
    </row>
    <row r="45" spans="2:5" ht="13.2" x14ac:dyDescent="0.25"/>
    <row r="46" spans="2:5" ht="13.2" x14ac:dyDescent="0.25"/>
    <row r="47" spans="2:5" ht="13.2" x14ac:dyDescent="0.25"/>
    <row r="48" spans="2:5" ht="13.2" x14ac:dyDescent="0.25"/>
    <row r="49" ht="13.2" x14ac:dyDescent="0.25"/>
    <row r="50" ht="13.2" x14ac:dyDescent="0.25"/>
    <row r="51" ht="13.2" x14ac:dyDescent="0.25"/>
    <row r="52" ht="13.2" x14ac:dyDescent="0.25"/>
    <row r="53" ht="13.2" x14ac:dyDescent="0.25"/>
    <row r="54" ht="13.2" x14ac:dyDescent="0.25"/>
    <row r="55" ht="13.2" x14ac:dyDescent="0.25"/>
    <row r="56" ht="13.2" x14ac:dyDescent="0.25"/>
    <row r="57" ht="13.2" x14ac:dyDescent="0.25"/>
    <row r="58" ht="13.2" x14ac:dyDescent="0.25"/>
    <row r="59" ht="13.2" x14ac:dyDescent="0.25"/>
    <row r="60" ht="13.2" x14ac:dyDescent="0.25"/>
    <row r="61" ht="13.2" x14ac:dyDescent="0.25"/>
    <row r="62" ht="13.2" x14ac:dyDescent="0.25"/>
    <row r="63" ht="13.2" x14ac:dyDescent="0.25"/>
    <row r="64" ht="13.2" x14ac:dyDescent="0.25"/>
    <row r="65" ht="13.2" x14ac:dyDescent="0.25"/>
    <row r="66" ht="13.2" x14ac:dyDescent="0.25"/>
    <row r="67" ht="13.2" x14ac:dyDescent="0.25"/>
    <row r="68" ht="13.2" x14ac:dyDescent="0.25"/>
    <row r="69" ht="13.2" x14ac:dyDescent="0.25"/>
    <row r="70" ht="13.2" x14ac:dyDescent="0.25"/>
    <row r="71" ht="13.2" x14ac:dyDescent="0.25"/>
    <row r="72" ht="13.2" x14ac:dyDescent="0.25"/>
    <row r="73" ht="13.2" x14ac:dyDescent="0.25"/>
    <row r="74" ht="13.2" x14ac:dyDescent="0.25"/>
    <row r="75" ht="13.2" x14ac:dyDescent="0.25"/>
    <row r="76" ht="13.2" x14ac:dyDescent="0.25"/>
    <row r="77" ht="13.2" x14ac:dyDescent="0.25"/>
    <row r="78" ht="13.2" x14ac:dyDescent="0.25"/>
    <row r="79" ht="13.2" x14ac:dyDescent="0.25"/>
    <row r="80" ht="13.2" x14ac:dyDescent="0.25"/>
    <row r="81" ht="13.2" x14ac:dyDescent="0.25"/>
    <row r="82" ht="13.2" x14ac:dyDescent="0.25"/>
    <row r="83" ht="13.2" x14ac:dyDescent="0.25"/>
    <row r="84" ht="13.2" x14ac:dyDescent="0.25"/>
    <row r="85" ht="13.2" x14ac:dyDescent="0.25"/>
    <row r="86" ht="13.2" x14ac:dyDescent="0.25"/>
    <row r="87" ht="13.2" x14ac:dyDescent="0.25"/>
    <row r="88" ht="13.2" x14ac:dyDescent="0.25"/>
    <row r="89" ht="13.2" x14ac:dyDescent="0.25"/>
    <row r="90" ht="13.2" x14ac:dyDescent="0.25"/>
    <row r="91" ht="13.2" x14ac:dyDescent="0.25"/>
    <row r="92" ht="13.2" x14ac:dyDescent="0.25"/>
    <row r="93" ht="13.2" x14ac:dyDescent="0.25"/>
    <row r="94" ht="13.2" x14ac:dyDescent="0.25"/>
    <row r="95" ht="13.2" x14ac:dyDescent="0.25"/>
    <row r="96" ht="13.2" x14ac:dyDescent="0.25"/>
    <row r="97" ht="13.2" x14ac:dyDescent="0.25"/>
    <row r="98" ht="13.2" x14ac:dyDescent="0.25"/>
    <row r="99" ht="13.2" x14ac:dyDescent="0.25"/>
    <row r="100" ht="13.2" x14ac:dyDescent="0.25"/>
    <row r="101" ht="13.2" x14ac:dyDescent="0.25"/>
    <row r="102" ht="13.2" x14ac:dyDescent="0.25"/>
    <row r="103" ht="13.2" x14ac:dyDescent="0.25"/>
    <row r="104" ht="13.2" x14ac:dyDescent="0.25"/>
    <row r="105" ht="13.2" x14ac:dyDescent="0.25"/>
    <row r="106" ht="13.2" x14ac:dyDescent="0.25"/>
    <row r="107" ht="13.2" x14ac:dyDescent="0.25"/>
    <row r="108" ht="13.2" x14ac:dyDescent="0.25"/>
    <row r="109" ht="13.2" x14ac:dyDescent="0.25"/>
    <row r="110" ht="13.2" x14ac:dyDescent="0.25"/>
    <row r="111" ht="13.2" x14ac:dyDescent="0.25"/>
    <row r="112" ht="13.2" x14ac:dyDescent="0.25"/>
    <row r="113" ht="13.2" x14ac:dyDescent="0.25"/>
    <row r="114" ht="13.2" x14ac:dyDescent="0.25"/>
    <row r="115" ht="13.2" x14ac:dyDescent="0.25"/>
    <row r="116" ht="13.2" x14ac:dyDescent="0.25"/>
    <row r="117" ht="13.2" x14ac:dyDescent="0.25"/>
    <row r="118" ht="13.2" x14ac:dyDescent="0.25"/>
    <row r="119" ht="13.2" x14ac:dyDescent="0.25"/>
    <row r="120" ht="13.2" x14ac:dyDescent="0.25"/>
    <row r="121" ht="13.2" x14ac:dyDescent="0.25"/>
    <row r="122" ht="13.2" x14ac:dyDescent="0.25"/>
    <row r="123" ht="13.2" x14ac:dyDescent="0.25"/>
    <row r="124" ht="13.2" x14ac:dyDescent="0.25"/>
    <row r="125" ht="13.2" x14ac:dyDescent="0.25"/>
    <row r="126" ht="13.2" x14ac:dyDescent="0.25"/>
    <row r="127" ht="13.2" x14ac:dyDescent="0.25"/>
    <row r="128" ht="13.2" x14ac:dyDescent="0.25"/>
    <row r="129" ht="13.2" x14ac:dyDescent="0.25"/>
    <row r="130" ht="13.2" x14ac:dyDescent="0.25"/>
    <row r="131" ht="13.2" x14ac:dyDescent="0.25"/>
    <row r="132" ht="13.2" x14ac:dyDescent="0.25"/>
    <row r="133" ht="13.2" x14ac:dyDescent="0.25"/>
    <row r="134" ht="13.2" x14ac:dyDescent="0.25"/>
    <row r="135" ht="13.2" x14ac:dyDescent="0.25"/>
    <row r="136" ht="13.2" x14ac:dyDescent="0.25"/>
    <row r="137" ht="13.2" x14ac:dyDescent="0.25"/>
    <row r="138" ht="13.2" x14ac:dyDescent="0.25"/>
    <row r="139" ht="13.2" x14ac:dyDescent="0.25"/>
    <row r="140" ht="13.2" x14ac:dyDescent="0.25"/>
    <row r="141" ht="13.2" x14ac:dyDescent="0.25"/>
    <row r="142" ht="13.2" x14ac:dyDescent="0.25"/>
    <row r="143" ht="13.2" x14ac:dyDescent="0.25"/>
    <row r="144" ht="13.2" x14ac:dyDescent="0.25"/>
    <row r="145" ht="13.2" x14ac:dyDescent="0.25"/>
    <row r="146" ht="13.2" x14ac:dyDescent="0.25"/>
    <row r="147" ht="13.2" x14ac:dyDescent="0.25"/>
    <row r="148" ht="13.2" x14ac:dyDescent="0.25"/>
    <row r="149" ht="13.2" x14ac:dyDescent="0.25"/>
    <row r="150" ht="13.2" x14ac:dyDescent="0.25"/>
    <row r="151" ht="13.2" x14ac:dyDescent="0.25"/>
    <row r="152" ht="13.2" x14ac:dyDescent="0.25"/>
    <row r="153" ht="13.2" x14ac:dyDescent="0.25"/>
    <row r="154" ht="13.2" x14ac:dyDescent="0.25"/>
    <row r="155" ht="13.2" x14ac:dyDescent="0.25"/>
    <row r="156" ht="13.2" x14ac:dyDescent="0.25"/>
    <row r="157" ht="13.2" x14ac:dyDescent="0.25"/>
    <row r="158" ht="13.2" x14ac:dyDescent="0.25"/>
    <row r="159" ht="13.2" x14ac:dyDescent="0.25"/>
    <row r="160" ht="13.2" x14ac:dyDescent="0.25"/>
    <row r="161" ht="13.2" x14ac:dyDescent="0.25"/>
    <row r="162" ht="13.2" x14ac:dyDescent="0.25"/>
    <row r="163" ht="13.2" x14ac:dyDescent="0.25"/>
    <row r="164" ht="13.2" x14ac:dyDescent="0.25"/>
    <row r="165" ht="13.2" x14ac:dyDescent="0.25"/>
    <row r="166" ht="13.2" x14ac:dyDescent="0.25"/>
    <row r="167" ht="13.2" x14ac:dyDescent="0.25"/>
    <row r="168" ht="13.2" x14ac:dyDescent="0.25"/>
    <row r="169" ht="13.2" x14ac:dyDescent="0.25"/>
    <row r="170" ht="13.2" x14ac:dyDescent="0.25"/>
    <row r="171" ht="13.2" x14ac:dyDescent="0.25"/>
    <row r="172" ht="13.2" x14ac:dyDescent="0.25"/>
    <row r="173" ht="13.2" x14ac:dyDescent="0.25"/>
    <row r="174" ht="13.2" x14ac:dyDescent="0.25"/>
    <row r="175" ht="13.2" x14ac:dyDescent="0.25"/>
    <row r="176" ht="13.2" x14ac:dyDescent="0.25"/>
    <row r="177" ht="13.2" x14ac:dyDescent="0.25"/>
    <row r="178" ht="13.2" x14ac:dyDescent="0.25"/>
    <row r="179" ht="13.2" x14ac:dyDescent="0.25"/>
    <row r="180" ht="13.2" x14ac:dyDescent="0.25"/>
    <row r="181" ht="13.2" x14ac:dyDescent="0.25"/>
    <row r="182" ht="13.2" x14ac:dyDescent="0.25"/>
    <row r="183" ht="13.2" x14ac:dyDescent="0.25"/>
    <row r="184" ht="13.2" x14ac:dyDescent="0.25"/>
    <row r="185" ht="13.2" x14ac:dyDescent="0.25"/>
    <row r="186" ht="13.2" x14ac:dyDescent="0.25"/>
    <row r="187" ht="13.2" x14ac:dyDescent="0.25"/>
    <row r="188" ht="13.2" x14ac:dyDescent="0.25"/>
    <row r="189" ht="13.2" x14ac:dyDescent="0.25"/>
    <row r="190" ht="13.2" x14ac:dyDescent="0.25"/>
    <row r="191" ht="13.2" x14ac:dyDescent="0.25"/>
    <row r="192" ht="13.2" x14ac:dyDescent="0.25"/>
    <row r="193" ht="13.2" x14ac:dyDescent="0.25"/>
    <row r="194" ht="13.2" x14ac:dyDescent="0.25"/>
    <row r="195" ht="13.2" x14ac:dyDescent="0.25"/>
    <row r="196" ht="13.2" x14ac:dyDescent="0.25"/>
    <row r="197" ht="13.2" x14ac:dyDescent="0.25"/>
    <row r="198" ht="13.2" x14ac:dyDescent="0.25"/>
    <row r="199" ht="13.2" x14ac:dyDescent="0.25"/>
    <row r="200" ht="13.2" x14ac:dyDescent="0.25"/>
    <row r="201" ht="13.2" x14ac:dyDescent="0.25"/>
    <row r="202" ht="13.2" x14ac:dyDescent="0.25"/>
    <row r="203" ht="13.2" x14ac:dyDescent="0.25"/>
    <row r="204" ht="13.2" x14ac:dyDescent="0.25"/>
    <row r="205" ht="13.2" x14ac:dyDescent="0.25"/>
    <row r="206" ht="13.2" x14ac:dyDescent="0.25"/>
    <row r="207" ht="13.2" x14ac:dyDescent="0.25"/>
    <row r="208" ht="13.2" x14ac:dyDescent="0.25"/>
    <row r="209" ht="13.2" x14ac:dyDescent="0.25"/>
    <row r="210" ht="13.2" x14ac:dyDescent="0.25"/>
    <row r="211" ht="13.2" x14ac:dyDescent="0.25"/>
    <row r="212" ht="13.2" x14ac:dyDescent="0.25"/>
    <row r="213" ht="13.2" x14ac:dyDescent="0.25"/>
    <row r="214" ht="13.2" x14ac:dyDescent="0.25"/>
    <row r="215" ht="13.2" x14ac:dyDescent="0.25"/>
    <row r="216" ht="13.2" x14ac:dyDescent="0.25"/>
    <row r="217" ht="13.2" x14ac:dyDescent="0.25"/>
    <row r="218" ht="13.2" x14ac:dyDescent="0.25"/>
    <row r="219" ht="13.2" x14ac:dyDescent="0.25"/>
    <row r="220" ht="13.2" x14ac:dyDescent="0.25"/>
    <row r="221" ht="13.2" x14ac:dyDescent="0.25"/>
    <row r="222" ht="13.2" x14ac:dyDescent="0.25"/>
    <row r="223" ht="13.2" x14ac:dyDescent="0.25"/>
    <row r="224" ht="13.2" x14ac:dyDescent="0.25"/>
    <row r="225" ht="13.2" x14ac:dyDescent="0.25"/>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sheetData>
  <mergeCells count="1">
    <mergeCell ref="B25:E35"/>
  </mergeCell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X999"/>
  <sheetViews>
    <sheetView tabSelected="1" topLeftCell="D1" workbookViewId="0">
      <selection activeCell="X22" sqref="X22:Y22"/>
    </sheetView>
  </sheetViews>
  <sheetFormatPr defaultColWidth="12.6640625" defaultRowHeight="15.75" customHeight="1" x14ac:dyDescent="0.25"/>
  <cols>
    <col min="1" max="1" width="12.6640625" bestFit="1" customWidth="1"/>
    <col min="2" max="2" width="58.33203125" bestFit="1" customWidth="1"/>
    <col min="3" max="3" width="14.6640625" bestFit="1" customWidth="1"/>
    <col min="4" max="4" width="12.33203125" bestFit="1" customWidth="1"/>
    <col min="5" max="5" width="14.44140625" bestFit="1" customWidth="1"/>
    <col min="6" max="6" width="13.44140625" style="11" bestFit="1" customWidth="1"/>
    <col min="7" max="7" width="15.6640625" style="11" bestFit="1" customWidth="1"/>
    <col min="8" max="8" width="15.44140625" bestFit="1" customWidth="1"/>
    <col min="9" max="9" width="14.6640625" bestFit="1" customWidth="1"/>
    <col min="10" max="10" width="12.33203125" bestFit="1" customWidth="1"/>
    <col min="11" max="11" width="14.44140625" bestFit="1" customWidth="1"/>
    <col min="12" max="12" width="13.44140625" style="11" bestFit="1" customWidth="1"/>
    <col min="13" max="13" width="15.6640625" style="11" bestFit="1" customWidth="1"/>
    <col min="14" max="14" width="15.44140625" bestFit="1" customWidth="1"/>
    <col min="15" max="15" width="14.6640625" bestFit="1" customWidth="1"/>
    <col min="16" max="16" width="12.33203125" bestFit="1" customWidth="1"/>
    <col min="17" max="17" width="14.44140625" bestFit="1" customWidth="1"/>
    <col min="18" max="18" width="13.44140625" style="11" bestFit="1" customWidth="1"/>
    <col min="19" max="19" width="15.6640625" style="11" bestFit="1" customWidth="1"/>
    <col min="20" max="20" width="15.44140625" bestFit="1" customWidth="1"/>
    <col min="21" max="21" width="14.6640625" bestFit="1" customWidth="1"/>
    <col min="22" max="22" width="12.33203125" bestFit="1" customWidth="1"/>
    <col min="23" max="23" width="14.44140625" bestFit="1" customWidth="1"/>
    <col min="24" max="24" width="13.44140625" style="11" bestFit="1" customWidth="1"/>
    <col min="25" max="25" width="15.6640625" style="11" bestFit="1" customWidth="1"/>
    <col min="26" max="26" width="15.44140625" bestFit="1" customWidth="1"/>
    <col min="27" max="27" width="14.6640625" bestFit="1" customWidth="1"/>
    <col min="28" max="28" width="12.33203125" bestFit="1" customWidth="1"/>
    <col min="29" max="29" width="14.44140625" bestFit="1" customWidth="1"/>
    <col min="30" max="30" width="13.44140625" style="11" bestFit="1" customWidth="1"/>
    <col min="31" max="31" width="15.6640625" style="11" bestFit="1" customWidth="1"/>
    <col min="32" max="32" width="15.44140625" bestFit="1" customWidth="1"/>
    <col min="33" max="33" width="21.44140625" bestFit="1" customWidth="1"/>
    <col min="34" max="34" width="23.6640625" bestFit="1" customWidth="1"/>
    <col min="35" max="35" width="27.77734375" bestFit="1" customWidth="1"/>
    <col min="36" max="36" width="21.44140625" bestFit="1" customWidth="1"/>
    <col min="37" max="37" width="23.6640625" bestFit="1" customWidth="1"/>
    <col min="38" max="38" width="27.77734375" bestFit="1" customWidth="1"/>
    <col min="39" max="39" width="21.44140625" bestFit="1" customWidth="1"/>
    <col min="40" max="40" width="23.6640625" bestFit="1" customWidth="1"/>
    <col min="41" max="41" width="27.77734375" bestFit="1" customWidth="1"/>
    <col min="42" max="42" width="21.44140625" bestFit="1" customWidth="1"/>
    <col min="43" max="43" width="23.6640625" bestFit="1" customWidth="1"/>
    <col min="44" max="44" width="27.77734375" bestFit="1" customWidth="1"/>
    <col min="45" max="45" width="21.44140625" bestFit="1" customWidth="1"/>
    <col min="46" max="46" width="23.6640625" bestFit="1" customWidth="1"/>
    <col min="47" max="47" width="27.77734375" bestFit="1" customWidth="1"/>
    <col min="48" max="48" width="17.109375" bestFit="1" customWidth="1"/>
    <col min="49" max="49" width="18.33203125" bestFit="1" customWidth="1"/>
    <col min="50" max="50" width="22.77734375" bestFit="1" customWidth="1"/>
  </cols>
  <sheetData>
    <row r="1" spans="1:50" ht="15.75" customHeight="1" x14ac:dyDescent="0.25">
      <c r="A1" s="1" t="s">
        <v>4</v>
      </c>
      <c r="B1" s="1" t="s">
        <v>36</v>
      </c>
      <c r="C1" s="1" t="s">
        <v>37</v>
      </c>
      <c r="D1" s="1" t="s">
        <v>38</v>
      </c>
      <c r="E1" s="1" t="s">
        <v>39</v>
      </c>
      <c r="F1" s="9" t="s">
        <v>32</v>
      </c>
      <c r="G1" s="9" t="s">
        <v>40</v>
      </c>
      <c r="H1" s="1" t="s">
        <v>41</v>
      </c>
      <c r="I1" s="1" t="s">
        <v>42</v>
      </c>
      <c r="J1" s="1" t="s">
        <v>43</v>
      </c>
      <c r="K1" s="1" t="s">
        <v>44</v>
      </c>
      <c r="L1" s="9" t="s">
        <v>45</v>
      </c>
      <c r="M1" s="9" t="s">
        <v>46</v>
      </c>
      <c r="N1" s="1" t="s">
        <v>47</v>
      </c>
      <c r="O1" s="1" t="s">
        <v>48</v>
      </c>
      <c r="P1" s="1" t="s">
        <v>49</v>
      </c>
      <c r="Q1" s="1" t="s">
        <v>50</v>
      </c>
      <c r="R1" s="9" t="s">
        <v>51</v>
      </c>
      <c r="S1" s="9" t="s">
        <v>52</v>
      </c>
      <c r="T1" s="1" t="s">
        <v>53</v>
      </c>
      <c r="U1" s="1" t="s">
        <v>54</v>
      </c>
      <c r="V1" s="1" t="s">
        <v>55</v>
      </c>
      <c r="W1" s="1" t="s">
        <v>56</v>
      </c>
      <c r="X1" s="9" t="s">
        <v>57</v>
      </c>
      <c r="Y1" s="9" t="s">
        <v>58</v>
      </c>
      <c r="Z1" s="1" t="s">
        <v>59</v>
      </c>
      <c r="AA1" s="1" t="s">
        <v>60</v>
      </c>
      <c r="AB1" s="1" t="s">
        <v>5</v>
      </c>
      <c r="AC1" s="1" t="s">
        <v>61</v>
      </c>
      <c r="AD1" s="9" t="s">
        <v>6</v>
      </c>
      <c r="AE1" s="9" t="s">
        <v>62</v>
      </c>
      <c r="AF1" s="1" t="s">
        <v>63</v>
      </c>
      <c r="AG1" s="1" t="s">
        <v>64</v>
      </c>
      <c r="AH1" s="1" t="s">
        <v>65</v>
      </c>
      <c r="AI1" s="1" t="s">
        <v>66</v>
      </c>
      <c r="AJ1" s="1" t="s">
        <v>67</v>
      </c>
      <c r="AK1" s="1" t="s">
        <v>68</v>
      </c>
      <c r="AL1" s="1" t="s">
        <v>69</v>
      </c>
      <c r="AM1" s="1" t="s">
        <v>70</v>
      </c>
      <c r="AN1" s="1" t="s">
        <v>71</v>
      </c>
      <c r="AO1" s="1" t="s">
        <v>72</v>
      </c>
      <c r="AP1" s="1" t="s">
        <v>73</v>
      </c>
      <c r="AQ1" s="1" t="s">
        <v>74</v>
      </c>
      <c r="AR1" s="1" t="s">
        <v>75</v>
      </c>
      <c r="AS1" s="1" t="s">
        <v>7</v>
      </c>
      <c r="AT1" s="1" t="s">
        <v>31</v>
      </c>
      <c r="AU1" s="1" t="s">
        <v>33</v>
      </c>
      <c r="AV1" s="1" t="s">
        <v>8</v>
      </c>
      <c r="AW1" s="1" t="s">
        <v>9</v>
      </c>
      <c r="AX1" s="1" t="s">
        <v>10</v>
      </c>
    </row>
    <row r="2" spans="1:50" ht="15.75" customHeight="1" x14ac:dyDescent="0.25">
      <c r="A2" s="2" t="s">
        <v>13</v>
      </c>
      <c r="B2" s="2" t="s">
        <v>76</v>
      </c>
      <c r="C2" s="2">
        <v>3850</v>
      </c>
      <c r="D2" s="2">
        <v>1766</v>
      </c>
      <c r="E2" s="2">
        <v>2084</v>
      </c>
      <c r="F2" s="10">
        <v>0.45870129870129872</v>
      </c>
      <c r="G2" s="10">
        <v>0.54129870129870128</v>
      </c>
      <c r="H2" s="2">
        <v>7</v>
      </c>
      <c r="I2" s="2">
        <v>3730</v>
      </c>
      <c r="J2" s="2">
        <v>1527</v>
      </c>
      <c r="K2" s="2">
        <v>2203</v>
      </c>
      <c r="L2" s="10">
        <v>0.40938337801608582</v>
      </c>
      <c r="M2" s="10">
        <v>0.59061662198391418</v>
      </c>
      <c r="N2" s="2">
        <v>7</v>
      </c>
      <c r="O2" s="2">
        <v>2742</v>
      </c>
      <c r="P2" s="2">
        <v>1152</v>
      </c>
      <c r="Q2" s="2">
        <v>1590</v>
      </c>
      <c r="R2" s="10">
        <v>0.42013129102844637</v>
      </c>
      <c r="S2" s="10">
        <v>0.57986870897155363</v>
      </c>
      <c r="T2" s="2">
        <v>7</v>
      </c>
      <c r="U2" s="2">
        <v>3521</v>
      </c>
      <c r="V2" s="2">
        <v>1676</v>
      </c>
      <c r="W2" s="2">
        <v>1845</v>
      </c>
      <c r="X2" s="10">
        <v>0.4760011360408975</v>
      </c>
      <c r="Y2" s="10">
        <v>0.52399886395910256</v>
      </c>
      <c r="Z2" s="2">
        <v>6</v>
      </c>
      <c r="AA2" s="2">
        <v>2840</v>
      </c>
      <c r="AB2" s="2">
        <v>1394</v>
      </c>
      <c r="AC2" s="2">
        <v>1446</v>
      </c>
      <c r="AD2" s="10">
        <v>0.49084507042253522</v>
      </c>
      <c r="AE2" s="10">
        <v>0.50915492957746478</v>
      </c>
      <c r="AF2" s="2">
        <v>7</v>
      </c>
      <c r="AG2" s="2">
        <v>-0.13533408833522079</v>
      </c>
      <c r="AH2" s="2">
        <v>5.7101727447216893E-2</v>
      </c>
      <c r="AI2" s="2">
        <v>-4.9317920685212957E-2</v>
      </c>
      <c r="AJ2" s="2">
        <v>-0.24557956777996071</v>
      </c>
      <c r="AK2" s="2">
        <v>-0.27825692237857469</v>
      </c>
      <c r="AL2" s="2">
        <v>1.074791301236061E-2</v>
      </c>
      <c r="AM2" s="2">
        <v>0.4548611111111111</v>
      </c>
      <c r="AN2" s="2">
        <v>0.160377358490566</v>
      </c>
      <c r="AO2" s="2">
        <v>5.5869845012451118E-2</v>
      </c>
      <c r="AP2" s="2">
        <v>-0.16825775656324579</v>
      </c>
      <c r="AQ2" s="2">
        <v>-0.216260162601626</v>
      </c>
      <c r="AR2" s="2">
        <v>1.4843934381637719E-2</v>
      </c>
      <c r="AS2" s="2">
        <v>-0.2106455266138165</v>
      </c>
      <c r="AT2" s="2">
        <v>-0.30614203454894429</v>
      </c>
      <c r="AU2" s="2">
        <v>3.2143771721236503E-2</v>
      </c>
      <c r="AV2" s="2">
        <v>3</v>
      </c>
      <c r="AW2" s="2">
        <v>10</v>
      </c>
      <c r="AX2" s="2">
        <v>19</v>
      </c>
    </row>
    <row r="3" spans="1:50" ht="15.75" customHeight="1" x14ac:dyDescent="0.25">
      <c r="A3" s="2" t="s">
        <v>22</v>
      </c>
      <c r="B3" s="2" t="s">
        <v>77</v>
      </c>
      <c r="C3" s="2">
        <v>1674</v>
      </c>
      <c r="D3" s="2">
        <v>627</v>
      </c>
      <c r="E3" s="2">
        <v>1047</v>
      </c>
      <c r="F3" s="10">
        <v>0.37455197132616491</v>
      </c>
      <c r="G3" s="10">
        <v>0.62544802867383509</v>
      </c>
      <c r="H3" s="2">
        <v>9</v>
      </c>
      <c r="I3" s="2">
        <v>1789</v>
      </c>
      <c r="J3" s="2">
        <v>595</v>
      </c>
      <c r="K3" s="2">
        <v>1194</v>
      </c>
      <c r="L3" s="10">
        <v>0.33258803801006148</v>
      </c>
      <c r="M3" s="10">
        <v>0.66741196198993846</v>
      </c>
      <c r="N3" s="2">
        <v>9</v>
      </c>
      <c r="O3" s="2">
        <v>1489</v>
      </c>
      <c r="P3" s="2">
        <v>525</v>
      </c>
      <c r="Q3" s="2">
        <v>964</v>
      </c>
      <c r="R3" s="10">
        <v>0.35258562793821357</v>
      </c>
      <c r="S3" s="10">
        <v>0.64741437206178643</v>
      </c>
      <c r="T3" s="2">
        <v>9</v>
      </c>
      <c r="U3" s="2">
        <v>1588</v>
      </c>
      <c r="V3" s="2">
        <v>644</v>
      </c>
      <c r="W3" s="2">
        <v>944</v>
      </c>
      <c r="X3" s="10">
        <v>0.40554156171284628</v>
      </c>
      <c r="Y3" s="10">
        <v>0.59445843828715361</v>
      </c>
      <c r="Z3" s="2">
        <v>9</v>
      </c>
      <c r="AA3" s="2">
        <v>1484</v>
      </c>
      <c r="AB3" s="2">
        <v>575</v>
      </c>
      <c r="AC3" s="2">
        <v>909</v>
      </c>
      <c r="AD3" s="10">
        <v>0.38746630727762799</v>
      </c>
      <c r="AE3" s="10">
        <v>0.61253369272237201</v>
      </c>
      <c r="AF3" s="2">
        <v>9</v>
      </c>
      <c r="AG3" s="2">
        <v>-5.1036682615629977E-2</v>
      </c>
      <c r="AH3" s="2">
        <v>0.14040114613180521</v>
      </c>
      <c r="AI3" s="2">
        <v>-4.1963933316103368E-2</v>
      </c>
      <c r="AJ3" s="2">
        <v>-0.1176470588235294</v>
      </c>
      <c r="AK3" s="2">
        <v>-0.19262981574539359</v>
      </c>
      <c r="AL3" s="2">
        <v>1.999758992815209E-2</v>
      </c>
      <c r="AM3" s="2">
        <v>0.22666666666666671</v>
      </c>
      <c r="AN3" s="2">
        <v>-2.0746887966804978E-2</v>
      </c>
      <c r="AO3" s="2">
        <v>5.2955933774632757E-2</v>
      </c>
      <c r="AP3" s="2">
        <v>-0.1071428571428571</v>
      </c>
      <c r="AQ3" s="2">
        <v>-3.7076271186440683E-2</v>
      </c>
      <c r="AR3" s="2">
        <v>-1.8075254435218291E-2</v>
      </c>
      <c r="AS3" s="2">
        <v>-8.2934609250398722E-2</v>
      </c>
      <c r="AT3" s="2">
        <v>-0.1318051575931232</v>
      </c>
      <c r="AU3" s="2">
        <v>1.291433595146319E-2</v>
      </c>
      <c r="AV3" s="2">
        <v>12</v>
      </c>
      <c r="AW3" s="2">
        <v>17</v>
      </c>
      <c r="AX3" s="2">
        <v>17</v>
      </c>
    </row>
    <row r="4" spans="1:50" ht="15.75" customHeight="1" x14ac:dyDescent="0.25">
      <c r="A4" s="2" t="s">
        <v>18</v>
      </c>
      <c r="B4" s="2" t="s">
        <v>78</v>
      </c>
      <c r="C4" s="2">
        <v>1739</v>
      </c>
      <c r="D4" s="2">
        <v>788</v>
      </c>
      <c r="E4" s="2">
        <v>951</v>
      </c>
      <c r="F4" s="10">
        <v>0.45313398504887858</v>
      </c>
      <c r="G4" s="10">
        <v>0.5468660149511213</v>
      </c>
      <c r="H4" s="2">
        <v>9</v>
      </c>
      <c r="I4" s="2">
        <v>1553</v>
      </c>
      <c r="J4" s="2">
        <v>643</v>
      </c>
      <c r="K4" s="2">
        <v>910</v>
      </c>
      <c r="L4" s="10">
        <v>0.41403734707018669</v>
      </c>
      <c r="M4" s="10">
        <v>0.58596265292981331</v>
      </c>
      <c r="N4" s="2">
        <v>9</v>
      </c>
      <c r="O4" s="2">
        <v>1250</v>
      </c>
      <c r="P4" s="2">
        <v>515</v>
      </c>
      <c r="Q4" s="2">
        <v>735</v>
      </c>
      <c r="R4" s="10">
        <v>0.41199999999999998</v>
      </c>
      <c r="S4" s="10">
        <v>0.58799999999999997</v>
      </c>
      <c r="T4" s="2">
        <v>9</v>
      </c>
      <c r="U4" s="2">
        <v>1670</v>
      </c>
      <c r="V4" s="2">
        <v>873</v>
      </c>
      <c r="W4" s="2">
        <v>797</v>
      </c>
      <c r="X4" s="10">
        <v>0.52275449101796412</v>
      </c>
      <c r="Y4" s="10">
        <v>0.47724550898203588</v>
      </c>
      <c r="Z4" s="2">
        <v>9</v>
      </c>
      <c r="AA4" s="2">
        <v>1285</v>
      </c>
      <c r="AB4" s="2">
        <v>728</v>
      </c>
      <c r="AC4" s="2">
        <v>557</v>
      </c>
      <c r="AD4" s="10">
        <v>0.56653696498054473</v>
      </c>
      <c r="AE4" s="10">
        <v>0.43346303501945532</v>
      </c>
      <c r="AF4" s="2">
        <v>9</v>
      </c>
      <c r="AG4" s="2">
        <v>-0.18401015228426401</v>
      </c>
      <c r="AH4" s="2">
        <v>-4.3112513144058888E-2</v>
      </c>
      <c r="AI4" s="2">
        <v>-3.9096637978691888E-2</v>
      </c>
      <c r="AJ4" s="2">
        <v>-0.19906687402799381</v>
      </c>
      <c r="AK4" s="2">
        <v>-0.19230769230769229</v>
      </c>
      <c r="AL4" s="2">
        <v>-2.037347070186768E-3</v>
      </c>
      <c r="AM4" s="2">
        <v>0.69514563106796112</v>
      </c>
      <c r="AN4" s="2">
        <v>8.4353741496598633E-2</v>
      </c>
      <c r="AO4" s="2">
        <v>0.1107544910179641</v>
      </c>
      <c r="AP4" s="2">
        <v>-0.16609392898052691</v>
      </c>
      <c r="AQ4" s="2">
        <v>-0.30112923462986202</v>
      </c>
      <c r="AR4" s="2">
        <v>4.3782473962580608E-2</v>
      </c>
      <c r="AS4" s="2">
        <v>-7.6142131979695438E-2</v>
      </c>
      <c r="AT4" s="2">
        <v>-0.41430073606729761</v>
      </c>
      <c r="AU4" s="2">
        <v>0.11340297993166611</v>
      </c>
      <c r="AV4" s="2">
        <v>8</v>
      </c>
      <c r="AW4" s="2">
        <v>6</v>
      </c>
      <c r="AX4" s="2">
        <v>16</v>
      </c>
    </row>
    <row r="5" spans="1:50" ht="15.75" customHeight="1" x14ac:dyDescent="0.25">
      <c r="A5" s="2" t="s">
        <v>25</v>
      </c>
      <c r="B5" s="2" t="s">
        <v>79</v>
      </c>
      <c r="C5" s="2">
        <v>982</v>
      </c>
      <c r="D5" s="2">
        <v>391</v>
      </c>
      <c r="E5" s="2">
        <v>591</v>
      </c>
      <c r="F5" s="10">
        <v>0.39816700610997963</v>
      </c>
      <c r="G5" s="10">
        <v>0.60183299389002032</v>
      </c>
      <c r="H5" s="2">
        <v>8</v>
      </c>
      <c r="I5" s="2">
        <v>867</v>
      </c>
      <c r="J5" s="2">
        <v>360</v>
      </c>
      <c r="K5" s="2">
        <v>507</v>
      </c>
      <c r="L5" s="10">
        <v>0.41522491349480972</v>
      </c>
      <c r="M5" s="10">
        <v>0.58477508650519028</v>
      </c>
      <c r="N5" s="2">
        <v>8</v>
      </c>
      <c r="O5" s="2">
        <v>868</v>
      </c>
      <c r="P5" s="2">
        <v>358</v>
      </c>
      <c r="Q5" s="2">
        <v>510</v>
      </c>
      <c r="R5" s="10">
        <v>0.41244239631336399</v>
      </c>
      <c r="S5" s="10">
        <v>0.5875576036866359</v>
      </c>
      <c r="T5" s="2">
        <v>8</v>
      </c>
      <c r="U5" s="2">
        <v>1173</v>
      </c>
      <c r="V5" s="2">
        <v>509</v>
      </c>
      <c r="W5" s="2">
        <v>664</v>
      </c>
      <c r="X5" s="10">
        <v>0.4339300937766411</v>
      </c>
      <c r="Y5" s="10">
        <v>0.56606990622335895</v>
      </c>
      <c r="Z5" s="2">
        <v>8</v>
      </c>
      <c r="AA5" s="2">
        <v>936</v>
      </c>
      <c r="AB5" s="2">
        <v>390</v>
      </c>
      <c r="AC5" s="2">
        <v>546</v>
      </c>
      <c r="AD5" s="10">
        <v>0.41666666666666669</v>
      </c>
      <c r="AE5" s="10">
        <v>0.58333333333333337</v>
      </c>
      <c r="AF5" s="2">
        <v>9</v>
      </c>
      <c r="AG5" s="2">
        <v>-7.9283887468030695E-2</v>
      </c>
      <c r="AH5" s="2">
        <v>-0.14213197969543151</v>
      </c>
      <c r="AI5" s="2">
        <v>1.705790738483004E-2</v>
      </c>
      <c r="AJ5" s="2">
        <v>-5.5555555555555558E-3</v>
      </c>
      <c r="AK5" s="2">
        <v>5.9171597633136093E-3</v>
      </c>
      <c r="AL5" s="2">
        <v>-2.7825171814456211E-3</v>
      </c>
      <c r="AM5" s="2">
        <v>0.42178770949720668</v>
      </c>
      <c r="AN5" s="2">
        <v>0.30196078431372553</v>
      </c>
      <c r="AO5" s="2">
        <v>2.1487697463277059E-2</v>
      </c>
      <c r="AP5" s="2">
        <v>-0.2337917485265226</v>
      </c>
      <c r="AQ5" s="2">
        <v>-0.17771084337349399</v>
      </c>
      <c r="AR5" s="2">
        <v>-1.726342710997442E-2</v>
      </c>
      <c r="AS5" s="2">
        <v>-2.5575447570332479E-3</v>
      </c>
      <c r="AT5" s="2">
        <v>-7.6142131979695438E-2</v>
      </c>
      <c r="AU5" s="2">
        <v>1.8499660556687059E-2</v>
      </c>
      <c r="AV5" s="2">
        <v>16</v>
      </c>
      <c r="AW5" s="2">
        <v>16</v>
      </c>
      <c r="AX5" s="2">
        <v>13</v>
      </c>
    </row>
    <row r="6" spans="1:50" ht="15.75" customHeight="1" x14ac:dyDescent="0.25">
      <c r="A6" s="2" t="s">
        <v>16</v>
      </c>
      <c r="B6" s="2" t="s">
        <v>80</v>
      </c>
      <c r="C6" s="2">
        <v>1108</v>
      </c>
      <c r="D6" s="2">
        <v>578</v>
      </c>
      <c r="E6" s="2">
        <v>530</v>
      </c>
      <c r="F6" s="10">
        <v>0.52166064981949456</v>
      </c>
      <c r="G6" s="10">
        <v>0.47833935018050538</v>
      </c>
      <c r="H6" s="2">
        <v>2</v>
      </c>
      <c r="I6" s="2">
        <v>1084</v>
      </c>
      <c r="J6" s="2">
        <v>550</v>
      </c>
      <c r="K6" s="2">
        <v>534</v>
      </c>
      <c r="L6" s="10">
        <v>0.50738007380073802</v>
      </c>
      <c r="M6" s="10">
        <v>0.49261992619926198</v>
      </c>
      <c r="N6" s="2">
        <v>2</v>
      </c>
      <c r="O6" s="2">
        <v>1082</v>
      </c>
      <c r="P6" s="2">
        <v>589</v>
      </c>
      <c r="Q6" s="2">
        <v>493</v>
      </c>
      <c r="R6" s="10">
        <v>0.54436229205175601</v>
      </c>
      <c r="S6" s="10">
        <v>0.45563770794824399</v>
      </c>
      <c r="T6" s="2">
        <v>2</v>
      </c>
      <c r="U6" s="2">
        <v>1645</v>
      </c>
      <c r="V6" s="2">
        <v>1026</v>
      </c>
      <c r="W6" s="2">
        <v>619</v>
      </c>
      <c r="X6" s="10">
        <v>0.62370820668693006</v>
      </c>
      <c r="Y6" s="10">
        <v>0.37629179331306989</v>
      </c>
      <c r="Z6" s="2">
        <v>2</v>
      </c>
      <c r="AA6" s="2">
        <v>1386</v>
      </c>
      <c r="AB6" s="2">
        <v>889</v>
      </c>
      <c r="AC6" s="2">
        <v>497</v>
      </c>
      <c r="AD6" s="10">
        <v>0.64141414141414144</v>
      </c>
      <c r="AE6" s="10">
        <v>0.35858585858585862</v>
      </c>
      <c r="AF6" s="2">
        <v>2</v>
      </c>
      <c r="AG6" s="2">
        <v>-4.8442906574394463E-2</v>
      </c>
      <c r="AH6" s="2">
        <v>7.5471698113207548E-3</v>
      </c>
      <c r="AI6" s="2">
        <v>-1.4280576018756539E-2</v>
      </c>
      <c r="AJ6" s="2">
        <v>7.0909090909090908E-2</v>
      </c>
      <c r="AK6" s="2">
        <v>-7.6779026217228458E-2</v>
      </c>
      <c r="AL6" s="2">
        <v>3.6982218251018002E-2</v>
      </c>
      <c r="AM6" s="2">
        <v>0.74193548387096775</v>
      </c>
      <c r="AN6" s="2">
        <v>0.25557809330628811</v>
      </c>
      <c r="AO6" s="2">
        <v>7.9345914635174042E-2</v>
      </c>
      <c r="AP6" s="2">
        <v>-0.1335282651072125</v>
      </c>
      <c r="AQ6" s="2">
        <v>-0.197092084006462</v>
      </c>
      <c r="AR6" s="2">
        <v>1.7705934727211381E-2</v>
      </c>
      <c r="AS6" s="2">
        <v>0.53806228373702425</v>
      </c>
      <c r="AT6" s="2">
        <v>-6.2264150943396233E-2</v>
      </c>
      <c r="AU6" s="2">
        <v>0.1197534915946469</v>
      </c>
      <c r="AV6" s="2">
        <v>6</v>
      </c>
      <c r="AW6" s="2">
        <v>4</v>
      </c>
      <c r="AX6" s="2">
        <v>5</v>
      </c>
    </row>
    <row r="7" spans="1:50" ht="15.75" customHeight="1" x14ac:dyDescent="0.25">
      <c r="A7" s="2" t="s">
        <v>21</v>
      </c>
      <c r="B7" s="2" t="s">
        <v>81</v>
      </c>
      <c r="C7" s="2">
        <v>1477</v>
      </c>
      <c r="D7" s="2">
        <v>577</v>
      </c>
      <c r="E7" s="2">
        <v>900</v>
      </c>
      <c r="F7" s="10">
        <v>0.39065673662830058</v>
      </c>
      <c r="G7" s="10">
        <v>0.60934326337169942</v>
      </c>
      <c r="H7" s="2">
        <v>9</v>
      </c>
      <c r="I7" s="2">
        <v>1463</v>
      </c>
      <c r="J7" s="2">
        <v>502</v>
      </c>
      <c r="K7" s="2">
        <v>961</v>
      </c>
      <c r="L7" s="10">
        <v>0.34313055365686951</v>
      </c>
      <c r="M7" s="10">
        <v>0.6568694463431306</v>
      </c>
      <c r="N7" s="2">
        <v>9</v>
      </c>
      <c r="O7" s="2">
        <v>1207</v>
      </c>
      <c r="P7" s="2">
        <v>433</v>
      </c>
      <c r="Q7" s="2">
        <v>774</v>
      </c>
      <c r="R7" s="10">
        <v>0.35874067937033971</v>
      </c>
      <c r="S7" s="10">
        <v>0.64125932062966029</v>
      </c>
      <c r="T7" s="2">
        <v>9</v>
      </c>
      <c r="U7" s="2">
        <v>1781</v>
      </c>
      <c r="V7" s="2">
        <v>748</v>
      </c>
      <c r="W7" s="2">
        <v>1033</v>
      </c>
      <c r="X7" s="10">
        <v>0.41998877035373378</v>
      </c>
      <c r="Y7" s="10">
        <v>0.58001122964626617</v>
      </c>
      <c r="Z7" s="2">
        <v>9</v>
      </c>
      <c r="AA7" s="2">
        <v>1327</v>
      </c>
      <c r="AB7" s="2">
        <v>582</v>
      </c>
      <c r="AC7" s="2">
        <v>745</v>
      </c>
      <c r="AD7" s="10">
        <v>0.43858327053504143</v>
      </c>
      <c r="AE7" s="10">
        <v>0.56141672946495857</v>
      </c>
      <c r="AF7" s="2">
        <v>9</v>
      </c>
      <c r="AG7" s="2">
        <v>-0.12998266897746971</v>
      </c>
      <c r="AH7" s="2">
        <v>6.7777777777777784E-2</v>
      </c>
      <c r="AI7" s="2">
        <v>-4.752618297143113E-2</v>
      </c>
      <c r="AJ7" s="2">
        <v>-0.13745019920318721</v>
      </c>
      <c r="AK7" s="2">
        <v>-0.19458896982310089</v>
      </c>
      <c r="AL7" s="2">
        <v>1.5610125713470259E-2</v>
      </c>
      <c r="AM7" s="2">
        <v>0.72748267898383367</v>
      </c>
      <c r="AN7" s="2">
        <v>0.33462532299741599</v>
      </c>
      <c r="AO7" s="2">
        <v>6.1248090983394121E-2</v>
      </c>
      <c r="AP7" s="2">
        <v>-0.2219251336898396</v>
      </c>
      <c r="AQ7" s="2">
        <v>-0.27879961277831561</v>
      </c>
      <c r="AR7" s="2">
        <v>1.859450018130759E-2</v>
      </c>
      <c r="AS7" s="2">
        <v>8.6655112651646445E-3</v>
      </c>
      <c r="AT7" s="2">
        <v>-0.17222222222222219</v>
      </c>
      <c r="AU7" s="2">
        <v>4.7926533906740842E-2</v>
      </c>
      <c r="AV7" s="2">
        <v>11</v>
      </c>
      <c r="AW7" s="2">
        <v>14</v>
      </c>
      <c r="AX7" s="2">
        <v>12</v>
      </c>
    </row>
    <row r="8" spans="1:50" ht="15.75" customHeight="1" x14ac:dyDescent="0.25">
      <c r="A8" s="2" t="s">
        <v>28</v>
      </c>
      <c r="B8" s="2" t="s">
        <v>82</v>
      </c>
      <c r="C8" s="2">
        <v>1392</v>
      </c>
      <c r="D8" s="2">
        <v>250</v>
      </c>
      <c r="E8" s="2">
        <v>1142</v>
      </c>
      <c r="F8" s="10">
        <v>0.1795977011494253</v>
      </c>
      <c r="G8" s="10">
        <v>0.8204022988505747</v>
      </c>
      <c r="H8" s="2">
        <v>9</v>
      </c>
      <c r="I8" s="2">
        <v>1309</v>
      </c>
      <c r="J8" s="2">
        <v>220</v>
      </c>
      <c r="K8" s="2">
        <v>1089</v>
      </c>
      <c r="L8" s="10">
        <v>0.16806722689075629</v>
      </c>
      <c r="M8" s="10">
        <v>0.83193277310924374</v>
      </c>
      <c r="N8" s="2">
        <v>9</v>
      </c>
      <c r="O8" s="2">
        <v>1140</v>
      </c>
      <c r="P8" s="2">
        <v>225</v>
      </c>
      <c r="Q8" s="2">
        <v>915</v>
      </c>
      <c r="R8" s="10">
        <v>0.19736842105263161</v>
      </c>
      <c r="S8" s="10">
        <v>0.80263157894736847</v>
      </c>
      <c r="T8" s="2">
        <v>9</v>
      </c>
      <c r="U8" s="2">
        <v>1218</v>
      </c>
      <c r="V8" s="2">
        <v>261</v>
      </c>
      <c r="W8" s="2">
        <v>957</v>
      </c>
      <c r="X8" s="10">
        <v>0.2142857142857143</v>
      </c>
      <c r="Y8" s="10">
        <v>0.7857142857142857</v>
      </c>
      <c r="Z8" s="2">
        <v>9</v>
      </c>
      <c r="AA8" s="2">
        <v>931</v>
      </c>
      <c r="AB8" s="2">
        <v>193</v>
      </c>
      <c r="AC8" s="2">
        <v>738</v>
      </c>
      <c r="AD8" s="10">
        <v>0.20730397422126751</v>
      </c>
      <c r="AE8" s="10">
        <v>0.79269602577873255</v>
      </c>
      <c r="AF8" s="2">
        <v>9</v>
      </c>
      <c r="AG8" s="2">
        <v>-0.12</v>
      </c>
      <c r="AH8" s="2">
        <v>-4.6409807355516627E-2</v>
      </c>
      <c r="AI8" s="2">
        <v>-1.153047425866896E-2</v>
      </c>
      <c r="AJ8" s="2">
        <v>2.2727272727272731E-2</v>
      </c>
      <c r="AK8" s="2">
        <v>-0.1597796143250689</v>
      </c>
      <c r="AL8" s="2">
        <v>2.9301194161875269E-2</v>
      </c>
      <c r="AM8" s="2">
        <v>0.16</v>
      </c>
      <c r="AN8" s="2">
        <v>4.5901639344262293E-2</v>
      </c>
      <c r="AO8" s="2">
        <v>1.6917293233082688E-2</v>
      </c>
      <c r="AP8" s="2">
        <v>-0.26053639846743287</v>
      </c>
      <c r="AQ8" s="2">
        <v>-0.2288401253918495</v>
      </c>
      <c r="AR8" s="2">
        <v>-6.981740064446823E-3</v>
      </c>
      <c r="AS8" s="2">
        <v>-0.22800000000000001</v>
      </c>
      <c r="AT8" s="2">
        <v>-0.35376532399299482</v>
      </c>
      <c r="AU8" s="2">
        <v>2.7706273071842171E-2</v>
      </c>
      <c r="AV8" s="2">
        <v>19</v>
      </c>
      <c r="AW8" s="2">
        <v>21</v>
      </c>
      <c r="AX8" s="2">
        <v>20</v>
      </c>
    </row>
    <row r="9" spans="1:50" ht="15.75" customHeight="1" x14ac:dyDescent="0.25">
      <c r="A9" s="2" t="s">
        <v>23</v>
      </c>
      <c r="B9" s="2" t="s">
        <v>83</v>
      </c>
      <c r="C9" s="2">
        <v>1858</v>
      </c>
      <c r="D9" s="2">
        <v>514</v>
      </c>
      <c r="E9" s="2">
        <v>1344</v>
      </c>
      <c r="F9" s="10">
        <v>0.27664155005382129</v>
      </c>
      <c r="G9" s="10">
        <v>0.72335844994617871</v>
      </c>
      <c r="H9" s="2">
        <v>9</v>
      </c>
      <c r="I9" s="2">
        <v>1960</v>
      </c>
      <c r="J9" s="2">
        <v>429</v>
      </c>
      <c r="K9" s="2">
        <v>1531</v>
      </c>
      <c r="L9" s="10">
        <v>0.21887755102040821</v>
      </c>
      <c r="M9" s="10">
        <v>0.78112244897959182</v>
      </c>
      <c r="N9" s="2">
        <v>9</v>
      </c>
      <c r="O9" s="2">
        <v>1745</v>
      </c>
      <c r="P9" s="2">
        <v>419</v>
      </c>
      <c r="Q9" s="2">
        <v>1326</v>
      </c>
      <c r="R9" s="10">
        <v>0.24011461318051569</v>
      </c>
      <c r="S9" s="10">
        <v>0.75988538681948425</v>
      </c>
      <c r="T9" s="2">
        <v>9</v>
      </c>
      <c r="U9" s="2">
        <v>1892</v>
      </c>
      <c r="V9" s="2">
        <v>602</v>
      </c>
      <c r="W9" s="2">
        <v>1290</v>
      </c>
      <c r="X9" s="10">
        <v>0.31818181818181818</v>
      </c>
      <c r="Y9" s="10">
        <v>0.68181818181818177</v>
      </c>
      <c r="Z9" s="2">
        <v>9</v>
      </c>
      <c r="AA9" s="2">
        <v>1338</v>
      </c>
      <c r="AB9" s="2">
        <v>464</v>
      </c>
      <c r="AC9" s="2">
        <v>874</v>
      </c>
      <c r="AD9" s="10">
        <v>0.34678624813153958</v>
      </c>
      <c r="AE9" s="10">
        <v>0.65321375186846042</v>
      </c>
      <c r="AF9" s="2">
        <v>9</v>
      </c>
      <c r="AG9" s="2">
        <v>-0.16536964980544749</v>
      </c>
      <c r="AH9" s="2">
        <v>0.13913690476190479</v>
      </c>
      <c r="AI9" s="2">
        <v>-5.7763999033413137E-2</v>
      </c>
      <c r="AJ9" s="2">
        <v>-2.3310023310023308E-2</v>
      </c>
      <c r="AK9" s="2">
        <v>-0.13389941214892229</v>
      </c>
      <c r="AL9" s="2">
        <v>2.1237062160107591E-2</v>
      </c>
      <c r="AM9" s="2">
        <v>0.43675417661097848</v>
      </c>
      <c r="AN9" s="2">
        <v>-2.714932126696833E-2</v>
      </c>
      <c r="AO9" s="2">
        <v>7.8067205001302431E-2</v>
      </c>
      <c r="AP9" s="2">
        <v>-0.2292358803986711</v>
      </c>
      <c r="AQ9" s="2">
        <v>-0.32248062015503881</v>
      </c>
      <c r="AR9" s="2">
        <v>2.8604429949721451E-2</v>
      </c>
      <c r="AS9" s="2">
        <v>-9.727626459143969E-2</v>
      </c>
      <c r="AT9" s="2">
        <v>-0.34970238095238088</v>
      </c>
      <c r="AU9" s="2">
        <v>7.0144698077718337E-2</v>
      </c>
      <c r="AV9" s="2">
        <v>13</v>
      </c>
      <c r="AW9" s="2">
        <v>18</v>
      </c>
      <c r="AX9" s="2">
        <v>18</v>
      </c>
    </row>
    <row r="10" spans="1:50" ht="15.75" customHeight="1" x14ac:dyDescent="0.25">
      <c r="A10" s="2" t="s">
        <v>24</v>
      </c>
      <c r="B10" s="2" t="s">
        <v>84</v>
      </c>
      <c r="C10" s="2">
        <v>584</v>
      </c>
      <c r="D10" s="2">
        <v>323</v>
      </c>
      <c r="E10" s="2">
        <v>261</v>
      </c>
      <c r="F10" s="10">
        <v>0.55308219178082196</v>
      </c>
      <c r="G10" s="10">
        <v>0.44691780821917809</v>
      </c>
      <c r="H10" s="2">
        <v>3</v>
      </c>
      <c r="I10" s="2">
        <v>484</v>
      </c>
      <c r="J10" s="2">
        <v>270</v>
      </c>
      <c r="K10" s="2">
        <v>214</v>
      </c>
      <c r="L10" s="10">
        <v>0.55785123966942152</v>
      </c>
      <c r="M10" s="10">
        <v>0.44214876033057848</v>
      </c>
      <c r="N10" s="2">
        <v>3</v>
      </c>
      <c r="O10" s="2">
        <v>453</v>
      </c>
      <c r="P10" s="2">
        <v>220</v>
      </c>
      <c r="Q10" s="2">
        <v>233</v>
      </c>
      <c r="R10" s="10">
        <v>0.4856512141280353</v>
      </c>
      <c r="S10" s="10">
        <v>0.51434878587196464</v>
      </c>
      <c r="T10" s="2">
        <v>3</v>
      </c>
      <c r="U10" s="2">
        <v>982</v>
      </c>
      <c r="V10" s="2">
        <v>465</v>
      </c>
      <c r="W10" s="2">
        <v>517</v>
      </c>
      <c r="X10" s="10">
        <v>0.47352342158859467</v>
      </c>
      <c r="Y10" s="10">
        <v>0.52647657841140527</v>
      </c>
      <c r="Z10" s="2">
        <v>3</v>
      </c>
      <c r="AA10" s="2">
        <v>849</v>
      </c>
      <c r="AB10" s="2">
        <v>403</v>
      </c>
      <c r="AC10" s="2">
        <v>446</v>
      </c>
      <c r="AD10" s="10">
        <v>0.4746760895170789</v>
      </c>
      <c r="AE10" s="10">
        <v>0.52532391048292104</v>
      </c>
      <c r="AF10" s="2">
        <v>3</v>
      </c>
      <c r="AG10" s="2">
        <v>-0.16408668730650161</v>
      </c>
      <c r="AH10" s="2">
        <v>-0.18007662835249039</v>
      </c>
      <c r="AI10" s="2">
        <v>4.7690478885995544E-3</v>
      </c>
      <c r="AJ10" s="2">
        <v>-0.1851851851851852</v>
      </c>
      <c r="AK10" s="2">
        <v>8.8785046728971959E-2</v>
      </c>
      <c r="AL10" s="2">
        <v>-7.2200025541386215E-2</v>
      </c>
      <c r="AM10" s="2">
        <v>1.113636363636364</v>
      </c>
      <c r="AN10" s="2">
        <v>1.218884120171674</v>
      </c>
      <c r="AO10" s="2">
        <v>-1.212779253944057E-2</v>
      </c>
      <c r="AP10" s="2">
        <v>-0.1333333333333333</v>
      </c>
      <c r="AQ10" s="2">
        <v>-0.13733075435203099</v>
      </c>
      <c r="AR10" s="2">
        <v>1.152667928484175E-3</v>
      </c>
      <c r="AS10" s="2">
        <v>0.24767801857585139</v>
      </c>
      <c r="AT10" s="2">
        <v>0.70881226053639845</v>
      </c>
      <c r="AU10" s="2">
        <v>-7.840610226374306E-2</v>
      </c>
      <c r="AV10" s="2">
        <v>14</v>
      </c>
      <c r="AW10" s="2">
        <v>12</v>
      </c>
      <c r="AX10" s="2">
        <v>9</v>
      </c>
    </row>
    <row r="11" spans="1:50" ht="15.75" customHeight="1" x14ac:dyDescent="0.25">
      <c r="A11" s="2" t="s">
        <v>27</v>
      </c>
      <c r="B11" s="2" t="s">
        <v>85</v>
      </c>
      <c r="C11" s="2">
        <v>286</v>
      </c>
      <c r="D11" s="2">
        <v>111</v>
      </c>
      <c r="E11" s="2">
        <v>175</v>
      </c>
      <c r="F11" s="10">
        <v>0.38811188811188813</v>
      </c>
      <c r="G11" s="10">
        <v>0.61188811188811187</v>
      </c>
      <c r="H11" s="2">
        <v>8</v>
      </c>
      <c r="I11" s="2">
        <v>381</v>
      </c>
      <c r="J11" s="2">
        <v>134</v>
      </c>
      <c r="K11" s="2">
        <v>247</v>
      </c>
      <c r="L11" s="10">
        <v>0.35170603674540679</v>
      </c>
      <c r="M11" s="10">
        <v>0.64829396325459321</v>
      </c>
      <c r="N11" s="2">
        <v>8</v>
      </c>
      <c r="O11" s="2">
        <v>331</v>
      </c>
      <c r="P11" s="2">
        <v>134</v>
      </c>
      <c r="Q11" s="2">
        <v>197</v>
      </c>
      <c r="R11" s="10">
        <v>0.40483383685800611</v>
      </c>
      <c r="S11" s="10">
        <v>0.595166163141994</v>
      </c>
      <c r="T11" s="2">
        <v>8</v>
      </c>
      <c r="U11" s="2">
        <v>405</v>
      </c>
      <c r="V11" s="2">
        <v>240</v>
      </c>
      <c r="W11" s="2">
        <v>165</v>
      </c>
      <c r="X11" s="10">
        <v>0.59259259259259256</v>
      </c>
      <c r="Y11" s="10">
        <v>0.40740740740740738</v>
      </c>
      <c r="Z11" s="2">
        <v>8</v>
      </c>
      <c r="AA11" s="2">
        <v>366</v>
      </c>
      <c r="AB11" s="2">
        <v>199</v>
      </c>
      <c r="AC11" s="2">
        <v>167</v>
      </c>
      <c r="AD11" s="10">
        <v>0.54371584699453557</v>
      </c>
      <c r="AE11" s="10">
        <v>0.45628415300546449</v>
      </c>
      <c r="AF11" s="2">
        <v>8</v>
      </c>
      <c r="AG11" s="2">
        <v>0.2072072072072072</v>
      </c>
      <c r="AH11" s="2">
        <v>0.41142857142857142</v>
      </c>
      <c r="AI11" s="2">
        <v>-3.6405851366481279E-2</v>
      </c>
      <c r="AJ11" s="2">
        <v>0</v>
      </c>
      <c r="AK11" s="2">
        <v>-0.20242914979757079</v>
      </c>
      <c r="AL11" s="2">
        <v>5.3127800112599211E-2</v>
      </c>
      <c r="AM11" s="2">
        <v>0.79104477611940294</v>
      </c>
      <c r="AN11" s="2">
        <v>-0.16243654822335021</v>
      </c>
      <c r="AO11" s="2">
        <v>0.1877587557345865</v>
      </c>
      <c r="AP11" s="2">
        <v>-0.17083333333333331</v>
      </c>
      <c r="AQ11" s="2">
        <v>1.2121212121212119E-2</v>
      </c>
      <c r="AR11" s="2">
        <v>-4.8876745598056992E-2</v>
      </c>
      <c r="AS11" s="2">
        <v>0.7927927927927928</v>
      </c>
      <c r="AT11" s="2">
        <v>-4.5714285714285707E-2</v>
      </c>
      <c r="AU11" s="2">
        <v>0.15560395888264739</v>
      </c>
      <c r="AV11" s="2">
        <v>18</v>
      </c>
      <c r="AW11" s="2">
        <v>7</v>
      </c>
      <c r="AX11" s="2">
        <v>3</v>
      </c>
    </row>
    <row r="12" spans="1:50" ht="15.75" customHeight="1" x14ac:dyDescent="0.25">
      <c r="A12" s="2" t="s">
        <v>26</v>
      </c>
      <c r="B12" s="2" t="s">
        <v>86</v>
      </c>
      <c r="C12" s="2">
        <v>359</v>
      </c>
      <c r="D12" s="2">
        <v>196</v>
      </c>
      <c r="E12" s="2">
        <v>163</v>
      </c>
      <c r="F12" s="10">
        <v>0.54596100278551529</v>
      </c>
      <c r="G12" s="10">
        <v>0.45403899721448471</v>
      </c>
      <c r="H12" s="2">
        <v>9</v>
      </c>
      <c r="I12" s="2">
        <v>363</v>
      </c>
      <c r="J12" s="2">
        <v>169</v>
      </c>
      <c r="K12" s="2">
        <v>194</v>
      </c>
      <c r="L12" s="10">
        <v>0.465564738292011</v>
      </c>
      <c r="M12" s="10">
        <v>0.53443526170798894</v>
      </c>
      <c r="N12" s="2">
        <v>9</v>
      </c>
      <c r="O12" s="2">
        <v>362</v>
      </c>
      <c r="P12" s="2">
        <v>126</v>
      </c>
      <c r="Q12" s="2">
        <v>236</v>
      </c>
      <c r="R12" s="10">
        <v>0.34806629834254138</v>
      </c>
      <c r="S12" s="10">
        <v>0.65193370165745856</v>
      </c>
      <c r="T12" s="2">
        <v>9</v>
      </c>
      <c r="U12" s="2">
        <v>749</v>
      </c>
      <c r="V12" s="2">
        <v>395</v>
      </c>
      <c r="W12" s="2">
        <v>354</v>
      </c>
      <c r="X12" s="10">
        <v>0.52736982643524699</v>
      </c>
      <c r="Y12" s="10">
        <v>0.47263017356475301</v>
      </c>
      <c r="Z12" s="2">
        <v>10</v>
      </c>
      <c r="AA12" s="2">
        <v>569</v>
      </c>
      <c r="AB12" s="2">
        <v>304</v>
      </c>
      <c r="AC12" s="2">
        <v>265</v>
      </c>
      <c r="AD12" s="10">
        <v>0.53427065026362042</v>
      </c>
      <c r="AE12" s="10">
        <v>0.46572934973637958</v>
      </c>
      <c r="AF12" s="2">
        <v>10</v>
      </c>
      <c r="AG12" s="2">
        <v>-0.13775510204081631</v>
      </c>
      <c r="AH12" s="2">
        <v>0.19018404907975461</v>
      </c>
      <c r="AI12" s="2">
        <v>-8.0396264493504288E-2</v>
      </c>
      <c r="AJ12" s="2">
        <v>-0.25443786982248517</v>
      </c>
      <c r="AK12" s="2">
        <v>0.21649484536082481</v>
      </c>
      <c r="AL12" s="2">
        <v>-0.1174984399494696</v>
      </c>
      <c r="AM12" s="2">
        <v>2.1349206349206349</v>
      </c>
      <c r="AN12" s="2">
        <v>0.5</v>
      </c>
      <c r="AO12" s="2">
        <v>0.17930352809270561</v>
      </c>
      <c r="AP12" s="2">
        <v>-0.23037974683544299</v>
      </c>
      <c r="AQ12" s="2">
        <v>-0.25141242937853109</v>
      </c>
      <c r="AR12" s="2">
        <v>6.9008238283734258E-3</v>
      </c>
      <c r="AS12" s="2">
        <v>0.55102040816326525</v>
      </c>
      <c r="AT12" s="2">
        <v>0.62576687116564422</v>
      </c>
      <c r="AU12" s="2">
        <v>-1.1690352521894881E-2</v>
      </c>
      <c r="AV12" s="2">
        <v>17</v>
      </c>
      <c r="AW12" s="2">
        <v>8</v>
      </c>
      <c r="AX12" s="2">
        <v>4</v>
      </c>
    </row>
    <row r="13" spans="1:50" ht="15.75" customHeight="1" x14ac:dyDescent="0.25">
      <c r="A13" s="2" t="s">
        <v>19</v>
      </c>
      <c r="B13" s="2" t="s">
        <v>87</v>
      </c>
      <c r="C13" s="2">
        <v>841</v>
      </c>
      <c r="D13" s="2">
        <v>487</v>
      </c>
      <c r="E13" s="2">
        <v>354</v>
      </c>
      <c r="F13" s="10">
        <v>0.5790725326991677</v>
      </c>
      <c r="G13" s="10">
        <v>0.42092746730083241</v>
      </c>
      <c r="H13" s="2">
        <v>10</v>
      </c>
      <c r="I13" s="2">
        <v>754</v>
      </c>
      <c r="J13" s="2">
        <v>397</v>
      </c>
      <c r="K13" s="2">
        <v>357</v>
      </c>
      <c r="L13" s="10">
        <v>0.52652519893899208</v>
      </c>
      <c r="M13" s="10">
        <v>0.47347480106100798</v>
      </c>
      <c r="N13" s="2">
        <v>10</v>
      </c>
      <c r="O13" s="2">
        <v>818</v>
      </c>
      <c r="P13" s="2">
        <v>465</v>
      </c>
      <c r="Q13" s="2">
        <v>353</v>
      </c>
      <c r="R13" s="10">
        <v>0.56845965770171147</v>
      </c>
      <c r="S13" s="10">
        <v>0.43154034229828853</v>
      </c>
      <c r="T13" s="2">
        <v>10</v>
      </c>
      <c r="U13" s="2">
        <v>1453</v>
      </c>
      <c r="V13" s="2">
        <v>815</v>
      </c>
      <c r="W13" s="2">
        <v>638</v>
      </c>
      <c r="X13" s="10">
        <v>0.56090846524432214</v>
      </c>
      <c r="Y13" s="10">
        <v>0.43909153475567791</v>
      </c>
      <c r="Z13" s="2">
        <v>10</v>
      </c>
      <c r="AA13" s="2">
        <v>1222</v>
      </c>
      <c r="AB13" s="2">
        <v>694</v>
      </c>
      <c r="AC13" s="2">
        <v>528</v>
      </c>
      <c r="AD13" s="10">
        <v>0.56792144026186575</v>
      </c>
      <c r="AE13" s="10">
        <v>0.43207855973813419</v>
      </c>
      <c r="AF13" s="2">
        <v>9</v>
      </c>
      <c r="AG13" s="2">
        <v>-0.1848049281314168</v>
      </c>
      <c r="AH13" s="2">
        <v>8.4745762711864406E-3</v>
      </c>
      <c r="AI13" s="2">
        <v>-5.2547333760175619E-2</v>
      </c>
      <c r="AJ13" s="2">
        <v>0.1712846347607053</v>
      </c>
      <c r="AK13" s="2">
        <v>-1.120448179271709E-2</v>
      </c>
      <c r="AL13" s="2">
        <v>4.1934458762719402E-2</v>
      </c>
      <c r="AM13" s="2">
        <v>0.75268817204301075</v>
      </c>
      <c r="AN13" s="2">
        <v>0.80736543909348446</v>
      </c>
      <c r="AO13" s="2">
        <v>-7.551192457389333E-3</v>
      </c>
      <c r="AP13" s="2">
        <v>-0.14846625766871169</v>
      </c>
      <c r="AQ13" s="2">
        <v>-0.17241379310344829</v>
      </c>
      <c r="AR13" s="2">
        <v>7.0129750175436101E-3</v>
      </c>
      <c r="AS13" s="2">
        <v>0.42505133470225881</v>
      </c>
      <c r="AT13" s="2">
        <v>0.49152542372881358</v>
      </c>
      <c r="AU13" s="2">
        <v>-1.1151092437301949E-2</v>
      </c>
      <c r="AV13" s="2">
        <v>9</v>
      </c>
      <c r="AW13" s="2">
        <v>5</v>
      </c>
      <c r="AX13" s="2">
        <v>7</v>
      </c>
    </row>
    <row r="14" spans="1:50" ht="15.75" customHeight="1" x14ac:dyDescent="0.25">
      <c r="A14" s="2" t="s">
        <v>30</v>
      </c>
      <c r="B14" s="2" t="s">
        <v>88</v>
      </c>
      <c r="C14" s="2">
        <v>9</v>
      </c>
      <c r="D14" s="2">
        <v>7</v>
      </c>
      <c r="E14" s="2">
        <v>2</v>
      </c>
      <c r="F14" s="10">
        <v>0.77777777777777779</v>
      </c>
      <c r="G14" s="10">
        <v>0.22222222222222221</v>
      </c>
      <c r="H14" s="2">
        <v>2</v>
      </c>
      <c r="I14" s="2">
        <v>12</v>
      </c>
      <c r="J14" s="2">
        <v>7</v>
      </c>
      <c r="K14" s="2">
        <v>5</v>
      </c>
      <c r="L14" s="10">
        <v>0.58333333333333337</v>
      </c>
      <c r="M14" s="10">
        <v>0.41666666666666669</v>
      </c>
      <c r="N14" s="2">
        <v>2</v>
      </c>
      <c r="O14" s="2">
        <v>16</v>
      </c>
      <c r="P14" s="2">
        <v>10</v>
      </c>
      <c r="Q14" s="2">
        <v>6</v>
      </c>
      <c r="R14" s="10">
        <v>0.625</v>
      </c>
      <c r="S14" s="10">
        <v>0.375</v>
      </c>
      <c r="T14" s="2">
        <v>2</v>
      </c>
      <c r="U14" s="2">
        <v>38</v>
      </c>
      <c r="V14" s="2">
        <v>30</v>
      </c>
      <c r="W14" s="2">
        <v>8</v>
      </c>
      <c r="X14" s="10">
        <v>0.78947368421052633</v>
      </c>
      <c r="Y14" s="10">
        <v>0.2105263157894737</v>
      </c>
      <c r="Z14" s="2">
        <v>2</v>
      </c>
      <c r="AA14" s="2">
        <v>20</v>
      </c>
      <c r="AB14" s="2">
        <v>17</v>
      </c>
      <c r="AC14" s="2">
        <v>3</v>
      </c>
      <c r="AD14" s="10">
        <v>0.85</v>
      </c>
      <c r="AE14" s="10">
        <v>0.15</v>
      </c>
      <c r="AF14" s="2">
        <v>1</v>
      </c>
      <c r="AG14" s="2">
        <v>0</v>
      </c>
      <c r="AH14" s="2">
        <v>1.5</v>
      </c>
      <c r="AI14" s="2">
        <v>-0.19444444444444439</v>
      </c>
      <c r="AJ14" s="2">
        <v>0.42857142857142849</v>
      </c>
      <c r="AK14" s="2">
        <v>0.2</v>
      </c>
      <c r="AL14" s="2">
        <v>4.166666666666663E-2</v>
      </c>
      <c r="AM14" s="2">
        <v>2</v>
      </c>
      <c r="AN14" s="2">
        <v>0.33333333333333331</v>
      </c>
      <c r="AO14" s="2">
        <v>0.1644736842105263</v>
      </c>
      <c r="AP14" s="2">
        <v>-0.43333333333333329</v>
      </c>
      <c r="AQ14" s="2">
        <v>-0.625</v>
      </c>
      <c r="AR14" s="2">
        <v>6.052631578947365E-2</v>
      </c>
      <c r="AS14" s="2">
        <v>1.428571428571429</v>
      </c>
      <c r="AT14" s="2">
        <v>0.5</v>
      </c>
      <c r="AU14" s="2">
        <v>7.2222222222222188E-2</v>
      </c>
      <c r="AV14" s="2">
        <v>21</v>
      </c>
      <c r="AW14" s="2">
        <v>1</v>
      </c>
      <c r="AX14" s="2">
        <v>2</v>
      </c>
    </row>
    <row r="15" spans="1:50" ht="15.75" customHeight="1" x14ac:dyDescent="0.25">
      <c r="A15" s="2" t="s">
        <v>20</v>
      </c>
      <c r="B15" s="2" t="s">
        <v>89</v>
      </c>
      <c r="C15" s="2">
        <v>783</v>
      </c>
      <c r="D15" s="2">
        <v>425</v>
      </c>
      <c r="E15" s="2">
        <v>358</v>
      </c>
      <c r="F15" s="10">
        <v>0.54278416347381864</v>
      </c>
      <c r="G15" s="10">
        <v>0.45721583652618142</v>
      </c>
      <c r="H15" s="2">
        <v>4</v>
      </c>
      <c r="I15" s="2">
        <v>671</v>
      </c>
      <c r="J15" s="2">
        <v>323</v>
      </c>
      <c r="K15" s="2">
        <v>348</v>
      </c>
      <c r="L15" s="10">
        <v>0.481371087928465</v>
      </c>
      <c r="M15" s="10">
        <v>0.51862891207153505</v>
      </c>
      <c r="N15" s="2">
        <v>4</v>
      </c>
      <c r="O15" s="2">
        <v>614</v>
      </c>
      <c r="P15" s="2">
        <v>330</v>
      </c>
      <c r="Q15" s="2">
        <v>284</v>
      </c>
      <c r="R15" s="10">
        <v>0.53745928338762217</v>
      </c>
      <c r="S15" s="10">
        <v>0.46254071661237778</v>
      </c>
      <c r="T15" s="2">
        <v>4</v>
      </c>
      <c r="U15" s="2">
        <v>1047</v>
      </c>
      <c r="V15" s="2">
        <v>751</v>
      </c>
      <c r="W15" s="2">
        <v>296</v>
      </c>
      <c r="X15" s="10">
        <v>0.71728748806112708</v>
      </c>
      <c r="Y15" s="10">
        <v>0.28271251193887298</v>
      </c>
      <c r="Z15" s="2">
        <v>4</v>
      </c>
      <c r="AA15" s="2">
        <v>870</v>
      </c>
      <c r="AB15" s="2">
        <v>619</v>
      </c>
      <c r="AC15" s="2">
        <v>251</v>
      </c>
      <c r="AD15" s="10">
        <v>0.71149425287356327</v>
      </c>
      <c r="AE15" s="10">
        <v>0.28850574712643678</v>
      </c>
      <c r="AF15" s="2">
        <v>4</v>
      </c>
      <c r="AG15" s="2">
        <v>-0.24</v>
      </c>
      <c r="AH15" s="2">
        <v>-2.793296089385475E-2</v>
      </c>
      <c r="AI15" s="2">
        <v>-6.1413075545353628E-2</v>
      </c>
      <c r="AJ15" s="2">
        <v>2.1671826625387001E-2</v>
      </c>
      <c r="AK15" s="2">
        <v>-0.18390804597701149</v>
      </c>
      <c r="AL15" s="2">
        <v>5.6088195459157157E-2</v>
      </c>
      <c r="AM15" s="2">
        <v>1.2757575757575761</v>
      </c>
      <c r="AN15" s="2">
        <v>4.2253521126760563E-2</v>
      </c>
      <c r="AO15" s="2">
        <v>0.17982820467350491</v>
      </c>
      <c r="AP15" s="2">
        <v>-0.17576564580559251</v>
      </c>
      <c r="AQ15" s="2">
        <v>-0.152027027027027</v>
      </c>
      <c r="AR15" s="2">
        <v>-5.7932351875638064E-3</v>
      </c>
      <c r="AS15" s="2">
        <v>0.45647058823529407</v>
      </c>
      <c r="AT15" s="2">
        <v>-0.2988826815642458</v>
      </c>
      <c r="AU15" s="2">
        <v>0.16871008939974461</v>
      </c>
      <c r="AV15" s="2">
        <v>10</v>
      </c>
      <c r="AW15" s="2">
        <v>3</v>
      </c>
      <c r="AX15" s="2">
        <v>6</v>
      </c>
    </row>
    <row r="16" spans="1:50" ht="15.75" customHeight="1" x14ac:dyDescent="0.25">
      <c r="A16" s="2" t="s">
        <v>12</v>
      </c>
      <c r="B16" s="2" t="s">
        <v>90</v>
      </c>
      <c r="C16" s="2">
        <v>5832</v>
      </c>
      <c r="D16" s="2">
        <v>2214</v>
      </c>
      <c r="E16" s="2">
        <v>3618</v>
      </c>
      <c r="F16" s="10">
        <v>0.37962962962962971</v>
      </c>
      <c r="G16" s="10">
        <v>0.62037037037037035</v>
      </c>
      <c r="H16" s="2">
        <v>10</v>
      </c>
      <c r="I16" s="2">
        <v>5381</v>
      </c>
      <c r="J16" s="2">
        <v>1791</v>
      </c>
      <c r="K16" s="2">
        <v>3590</v>
      </c>
      <c r="L16" s="10">
        <v>0.33283776249767699</v>
      </c>
      <c r="M16" s="10">
        <v>0.66716223750232295</v>
      </c>
      <c r="N16" s="2">
        <v>10</v>
      </c>
      <c r="O16" s="2">
        <v>4152</v>
      </c>
      <c r="P16" s="2">
        <v>1589</v>
      </c>
      <c r="Q16" s="2">
        <v>2563</v>
      </c>
      <c r="R16" s="10">
        <v>0.38270712909441229</v>
      </c>
      <c r="S16" s="10">
        <v>0.61729287090558771</v>
      </c>
      <c r="T16" s="2">
        <v>10</v>
      </c>
      <c r="U16" s="2">
        <v>5745</v>
      </c>
      <c r="V16" s="2">
        <v>2467</v>
      </c>
      <c r="W16" s="2">
        <v>3278</v>
      </c>
      <c r="X16" s="10">
        <v>0.42941688424717139</v>
      </c>
      <c r="Y16" s="10">
        <v>0.5705831157528285</v>
      </c>
      <c r="Z16" s="2">
        <v>10</v>
      </c>
      <c r="AA16" s="2">
        <v>5061</v>
      </c>
      <c r="AB16" s="2">
        <v>2146</v>
      </c>
      <c r="AC16" s="2">
        <v>2915</v>
      </c>
      <c r="AD16" s="10">
        <v>0.42402687215965218</v>
      </c>
      <c r="AE16" s="10">
        <v>0.57597312784034771</v>
      </c>
      <c r="AF16" s="2">
        <v>10</v>
      </c>
      <c r="AG16" s="2">
        <v>-0.1910569105691057</v>
      </c>
      <c r="AH16" s="2">
        <v>-7.7390823659480379E-3</v>
      </c>
      <c r="AI16" s="2">
        <v>-4.6791867131952658E-2</v>
      </c>
      <c r="AJ16" s="2">
        <v>-0.11278615298715799</v>
      </c>
      <c r="AK16" s="2">
        <v>-0.28607242339832872</v>
      </c>
      <c r="AL16" s="2">
        <v>4.9869366596735347E-2</v>
      </c>
      <c r="AM16" s="2">
        <v>0.55254877281309001</v>
      </c>
      <c r="AN16" s="2">
        <v>0.27896995708154498</v>
      </c>
      <c r="AO16" s="2">
        <v>4.6709755152759103E-2</v>
      </c>
      <c r="AP16" s="2">
        <v>-0.1301175516822051</v>
      </c>
      <c r="AQ16" s="2">
        <v>-0.1107382550335571</v>
      </c>
      <c r="AR16" s="2">
        <v>-5.3900120875192137E-3</v>
      </c>
      <c r="AS16" s="2">
        <v>-3.071364046973803E-2</v>
      </c>
      <c r="AT16" s="2">
        <v>-0.19430624654505249</v>
      </c>
      <c r="AU16" s="2">
        <v>4.4397242530022578E-2</v>
      </c>
      <c r="AV16" s="2">
        <v>2</v>
      </c>
      <c r="AW16" s="2">
        <v>15</v>
      </c>
      <c r="AX16" s="2">
        <v>14</v>
      </c>
    </row>
    <row r="17" spans="1:50" ht="15.75" customHeight="1" x14ac:dyDescent="0.25">
      <c r="A17" s="2" t="s">
        <v>11</v>
      </c>
      <c r="B17" s="2" t="s">
        <v>91</v>
      </c>
      <c r="C17" s="2">
        <v>6826</v>
      </c>
      <c r="D17" s="2">
        <v>3242</v>
      </c>
      <c r="E17" s="2">
        <v>3584</v>
      </c>
      <c r="F17" s="10">
        <v>0.47494872546147082</v>
      </c>
      <c r="G17" s="10">
        <v>0.52505127453852918</v>
      </c>
      <c r="H17" s="2">
        <v>7</v>
      </c>
      <c r="I17" s="2">
        <v>6387</v>
      </c>
      <c r="J17" s="2">
        <v>2976</v>
      </c>
      <c r="K17" s="2">
        <v>3411</v>
      </c>
      <c r="L17" s="10">
        <v>0.4659464537341475</v>
      </c>
      <c r="M17" s="10">
        <v>0.53405354626585255</v>
      </c>
      <c r="N17" s="2">
        <v>7</v>
      </c>
      <c r="O17" s="2">
        <v>5054</v>
      </c>
      <c r="P17" s="2">
        <v>2355</v>
      </c>
      <c r="Q17" s="2">
        <v>2699</v>
      </c>
      <c r="R17" s="10">
        <v>0.46596755045508509</v>
      </c>
      <c r="S17" s="10">
        <v>0.53403244954491491</v>
      </c>
      <c r="T17" s="2">
        <v>7</v>
      </c>
      <c r="U17" s="2">
        <v>8752</v>
      </c>
      <c r="V17" s="2">
        <v>4099</v>
      </c>
      <c r="W17" s="2">
        <v>4653</v>
      </c>
      <c r="X17" s="10">
        <v>0.46835009140767819</v>
      </c>
      <c r="Y17" s="10">
        <v>0.53164990859232175</v>
      </c>
      <c r="Z17" s="2">
        <v>7</v>
      </c>
      <c r="AA17" s="2">
        <v>7720</v>
      </c>
      <c r="AB17" s="2">
        <v>3580</v>
      </c>
      <c r="AC17" s="2">
        <v>4140</v>
      </c>
      <c r="AD17" s="10">
        <v>0.46373056994818651</v>
      </c>
      <c r="AE17" s="10">
        <v>0.53626943005181349</v>
      </c>
      <c r="AF17" s="2">
        <v>7</v>
      </c>
      <c r="AG17" s="2">
        <v>-8.2048118445404078E-2</v>
      </c>
      <c r="AH17" s="2">
        <v>-4.8270089285714288E-2</v>
      </c>
      <c r="AI17" s="2">
        <v>-9.0022717273233188E-3</v>
      </c>
      <c r="AJ17" s="2">
        <v>-0.20866935483870969</v>
      </c>
      <c r="AK17" s="2">
        <v>-0.20873644092641461</v>
      </c>
      <c r="AL17" s="2">
        <v>2.109672093758563E-5</v>
      </c>
      <c r="AM17" s="2">
        <v>0.74055201698513795</v>
      </c>
      <c r="AN17" s="2">
        <v>0.72397184142274917</v>
      </c>
      <c r="AO17" s="2">
        <v>2.38254095259316E-3</v>
      </c>
      <c r="AP17" s="2">
        <v>-0.12661624786533299</v>
      </c>
      <c r="AQ17" s="2">
        <v>-0.1102514506769826</v>
      </c>
      <c r="AR17" s="2">
        <v>-4.6195214594917378E-3</v>
      </c>
      <c r="AS17" s="2">
        <v>0.1042566317088217</v>
      </c>
      <c r="AT17" s="2">
        <v>0.1551339285714286</v>
      </c>
      <c r="AU17" s="2">
        <v>-1.121815551328431E-2</v>
      </c>
      <c r="AV17" s="2">
        <v>1</v>
      </c>
      <c r="AW17" s="2">
        <v>13</v>
      </c>
      <c r="AX17" s="2">
        <v>11</v>
      </c>
    </row>
    <row r="18" spans="1:50" ht="15.75" customHeight="1" x14ac:dyDescent="0.25">
      <c r="A18" s="2" t="s">
        <v>17</v>
      </c>
      <c r="B18" s="2" t="s">
        <v>92</v>
      </c>
      <c r="C18" s="2">
        <v>1626</v>
      </c>
      <c r="D18" s="2">
        <v>694</v>
      </c>
      <c r="E18" s="2">
        <v>932</v>
      </c>
      <c r="F18" s="10">
        <v>0.42681426814268142</v>
      </c>
      <c r="G18" s="10">
        <v>0.57318573185731858</v>
      </c>
      <c r="H18" s="2">
        <v>3</v>
      </c>
      <c r="I18" s="2">
        <v>1776</v>
      </c>
      <c r="J18" s="2">
        <v>704</v>
      </c>
      <c r="K18" s="2">
        <v>1072</v>
      </c>
      <c r="L18" s="10">
        <v>0.3963963963963964</v>
      </c>
      <c r="M18" s="10">
        <v>0.60360360360360366</v>
      </c>
      <c r="N18" s="2">
        <v>3</v>
      </c>
      <c r="O18" s="2">
        <v>1217</v>
      </c>
      <c r="P18" s="2">
        <v>553</v>
      </c>
      <c r="Q18" s="2">
        <v>664</v>
      </c>
      <c r="R18" s="10">
        <v>0.45439605587510268</v>
      </c>
      <c r="S18" s="10">
        <v>0.54560394412489732</v>
      </c>
      <c r="T18" s="2">
        <v>3</v>
      </c>
      <c r="U18" s="2">
        <v>2105</v>
      </c>
      <c r="V18" s="2">
        <v>1027</v>
      </c>
      <c r="W18" s="2">
        <v>1078</v>
      </c>
      <c r="X18" s="10">
        <v>0.48788598574821851</v>
      </c>
      <c r="Y18" s="10">
        <v>0.51211401425178149</v>
      </c>
      <c r="Z18" s="2">
        <v>3</v>
      </c>
      <c r="AA18" s="2">
        <v>1626</v>
      </c>
      <c r="AB18" s="2">
        <v>819</v>
      </c>
      <c r="AC18" s="2">
        <v>807</v>
      </c>
      <c r="AD18" s="10">
        <v>0.50369003690036895</v>
      </c>
      <c r="AE18" s="10">
        <v>0.49630996309963099</v>
      </c>
      <c r="AF18" s="2">
        <v>3</v>
      </c>
      <c r="AG18" s="2">
        <v>1.4409221902017291E-2</v>
      </c>
      <c r="AH18" s="2">
        <v>0.15021459227467809</v>
      </c>
      <c r="AI18" s="2">
        <v>-3.0417871746285019E-2</v>
      </c>
      <c r="AJ18" s="2">
        <v>-0.21448863636363641</v>
      </c>
      <c r="AK18" s="2">
        <v>-0.38059701492537312</v>
      </c>
      <c r="AL18" s="2">
        <v>5.7999659478706327E-2</v>
      </c>
      <c r="AM18" s="2">
        <v>0.8571428571428571</v>
      </c>
      <c r="AN18" s="2">
        <v>0.62349397590361444</v>
      </c>
      <c r="AO18" s="2">
        <v>3.3489929873115783E-2</v>
      </c>
      <c r="AP18" s="2">
        <v>-0.20253164556962031</v>
      </c>
      <c r="AQ18" s="2">
        <v>-0.25139146567718001</v>
      </c>
      <c r="AR18" s="2">
        <v>1.5804051152150441E-2</v>
      </c>
      <c r="AS18" s="2">
        <v>0.18011527377521611</v>
      </c>
      <c r="AT18" s="2">
        <v>-0.1341201716738197</v>
      </c>
      <c r="AU18" s="2">
        <v>7.6875768757687535E-2</v>
      </c>
      <c r="AV18" s="2">
        <v>7</v>
      </c>
      <c r="AW18" s="2">
        <v>9</v>
      </c>
      <c r="AX18" s="2">
        <v>10</v>
      </c>
    </row>
    <row r="19" spans="1:50" ht="15.75" customHeight="1" x14ac:dyDescent="0.25">
      <c r="A19" s="2" t="s">
        <v>15</v>
      </c>
      <c r="B19" s="2" t="s">
        <v>93</v>
      </c>
      <c r="C19" s="2">
        <v>2514</v>
      </c>
      <c r="D19" s="2">
        <v>964</v>
      </c>
      <c r="E19" s="2">
        <v>1550</v>
      </c>
      <c r="F19" s="10">
        <v>0.38345266507557679</v>
      </c>
      <c r="G19" s="10">
        <v>0.61654733492442326</v>
      </c>
      <c r="H19" s="2">
        <v>6</v>
      </c>
      <c r="I19" s="2">
        <v>2345</v>
      </c>
      <c r="J19" s="2">
        <v>777</v>
      </c>
      <c r="K19" s="2">
        <v>1568</v>
      </c>
      <c r="L19" s="10">
        <v>0.33134328358208948</v>
      </c>
      <c r="M19" s="10">
        <v>0.66865671641791047</v>
      </c>
      <c r="N19" s="2">
        <v>6</v>
      </c>
      <c r="O19" s="2">
        <v>1911</v>
      </c>
      <c r="P19" s="2">
        <v>674</v>
      </c>
      <c r="Q19" s="2">
        <v>1237</v>
      </c>
      <c r="R19" s="10">
        <v>0.35269492412349562</v>
      </c>
      <c r="S19" s="10">
        <v>0.64730507587650443</v>
      </c>
      <c r="T19" s="2">
        <v>6</v>
      </c>
      <c r="U19" s="2">
        <v>2393</v>
      </c>
      <c r="V19" s="2">
        <v>1062</v>
      </c>
      <c r="W19" s="2">
        <v>1331</v>
      </c>
      <c r="X19" s="10">
        <v>0.44379440033430839</v>
      </c>
      <c r="Y19" s="10">
        <v>0.55620559966569161</v>
      </c>
      <c r="Z19" s="2">
        <v>6</v>
      </c>
      <c r="AA19" s="2">
        <v>1920</v>
      </c>
      <c r="AB19" s="2">
        <v>932</v>
      </c>
      <c r="AC19" s="2">
        <v>988</v>
      </c>
      <c r="AD19" s="10">
        <v>0.48541666666666672</v>
      </c>
      <c r="AE19" s="10">
        <v>0.51458333333333328</v>
      </c>
      <c r="AF19" s="2">
        <v>6</v>
      </c>
      <c r="AG19" s="2">
        <v>-0.19398340248962659</v>
      </c>
      <c r="AH19" s="2">
        <v>1.1612903225806451E-2</v>
      </c>
      <c r="AI19" s="2">
        <v>-5.2109381493487261E-2</v>
      </c>
      <c r="AJ19" s="2">
        <v>-0.13256113256113261</v>
      </c>
      <c r="AK19" s="2">
        <v>-0.2110969387755102</v>
      </c>
      <c r="AL19" s="2">
        <v>2.135164054140604E-2</v>
      </c>
      <c r="AM19" s="2">
        <v>0.57566765578635015</v>
      </c>
      <c r="AN19" s="2">
        <v>7.5990299110751822E-2</v>
      </c>
      <c r="AO19" s="2">
        <v>9.1099476210812824E-2</v>
      </c>
      <c r="AP19" s="2">
        <v>-0.1224105461393597</v>
      </c>
      <c r="AQ19" s="2">
        <v>-0.25770097670924119</v>
      </c>
      <c r="AR19" s="2">
        <v>4.1622266332358271E-2</v>
      </c>
      <c r="AS19" s="2">
        <v>-3.3195020746887967E-2</v>
      </c>
      <c r="AT19" s="2">
        <v>-0.36258064516129029</v>
      </c>
      <c r="AU19" s="2">
        <v>0.1019640015910899</v>
      </c>
      <c r="AV19" s="2">
        <v>5</v>
      </c>
      <c r="AW19" s="2">
        <v>11</v>
      </c>
      <c r="AX19" s="2">
        <v>15</v>
      </c>
    </row>
    <row r="20" spans="1:50" ht="15.75" customHeight="1" x14ac:dyDescent="0.25">
      <c r="A20" s="2" t="s">
        <v>14</v>
      </c>
      <c r="B20" s="2" t="s">
        <v>94</v>
      </c>
      <c r="C20" s="2">
        <v>1673</v>
      </c>
      <c r="D20" s="2">
        <v>216</v>
      </c>
      <c r="E20" s="2">
        <v>1457</v>
      </c>
      <c r="F20" s="10">
        <v>0.12910938433950989</v>
      </c>
      <c r="G20" s="10">
        <v>0.87089061566049009</v>
      </c>
      <c r="H20" s="2">
        <v>2</v>
      </c>
      <c r="I20" s="2">
        <v>1577</v>
      </c>
      <c r="J20" s="2">
        <v>139</v>
      </c>
      <c r="K20" s="2">
        <v>1438</v>
      </c>
      <c r="L20" s="10">
        <v>8.814204185161699E-2</v>
      </c>
      <c r="M20" s="10">
        <v>0.911857958148383</v>
      </c>
      <c r="N20" s="2">
        <v>2</v>
      </c>
      <c r="O20" s="2">
        <v>1386</v>
      </c>
      <c r="P20" s="2">
        <v>131</v>
      </c>
      <c r="Q20" s="2">
        <v>1255</v>
      </c>
      <c r="R20" s="10">
        <v>9.4516594516594513E-2</v>
      </c>
      <c r="S20" s="10">
        <v>0.90548340548340545</v>
      </c>
      <c r="T20" s="2">
        <v>2</v>
      </c>
      <c r="U20" s="2">
        <v>1521</v>
      </c>
      <c r="V20" s="2">
        <v>1298</v>
      </c>
      <c r="W20" s="2">
        <v>223</v>
      </c>
      <c r="X20" s="10">
        <v>0.85338593030900722</v>
      </c>
      <c r="Y20" s="10">
        <v>0.1466140696909928</v>
      </c>
      <c r="Z20" s="2">
        <v>2</v>
      </c>
      <c r="AA20" s="2">
        <v>1551</v>
      </c>
      <c r="AB20" s="2">
        <v>1274</v>
      </c>
      <c r="AC20" s="2">
        <v>277</v>
      </c>
      <c r="AD20" s="10">
        <v>0.8214055448098001</v>
      </c>
      <c r="AE20" s="10">
        <v>0.1785944551901999</v>
      </c>
      <c r="AF20" s="2">
        <v>2</v>
      </c>
      <c r="AG20" s="2">
        <v>-0.35648148148148151</v>
      </c>
      <c r="AH20" s="2">
        <v>-1.3040494166094719E-2</v>
      </c>
      <c r="AI20" s="2">
        <v>-4.0967342487892869E-2</v>
      </c>
      <c r="AJ20" s="2">
        <v>-5.7553956834532377E-2</v>
      </c>
      <c r="AK20" s="2">
        <v>-0.12726008344923509</v>
      </c>
      <c r="AL20" s="2">
        <v>6.374552664977523E-3</v>
      </c>
      <c r="AM20" s="2">
        <v>8.9083969465648849</v>
      </c>
      <c r="AN20" s="2">
        <v>-0.82231075697211153</v>
      </c>
      <c r="AO20" s="2">
        <v>0.75886933579241267</v>
      </c>
      <c r="AP20" s="2">
        <v>-1.8489984591679508E-2</v>
      </c>
      <c r="AQ20" s="2">
        <v>0.24215246636771301</v>
      </c>
      <c r="AR20" s="2">
        <v>-3.198038549920712E-2</v>
      </c>
      <c r="AS20" s="2">
        <v>4.8981481481481479</v>
      </c>
      <c r="AT20" s="2">
        <v>-0.80988332189430334</v>
      </c>
      <c r="AU20" s="2">
        <v>0.69229616047029019</v>
      </c>
      <c r="AV20" s="2">
        <v>4</v>
      </c>
      <c r="AW20" s="2">
        <v>2</v>
      </c>
      <c r="AX20" s="2">
        <v>1</v>
      </c>
    </row>
    <row r="21" spans="1:50" ht="15.75" customHeight="1" x14ac:dyDescent="0.25">
      <c r="A21" s="2" t="s">
        <v>29</v>
      </c>
      <c r="B21" s="2" t="s">
        <v>95</v>
      </c>
      <c r="C21" s="2">
        <v>295</v>
      </c>
      <c r="D21" s="2">
        <v>101</v>
      </c>
      <c r="E21" s="2">
        <v>194</v>
      </c>
      <c r="F21" s="10">
        <v>0.34237288135593219</v>
      </c>
      <c r="G21" s="10">
        <v>0.65762711864406775</v>
      </c>
      <c r="H21" s="2">
        <v>7</v>
      </c>
      <c r="I21" s="2">
        <v>271</v>
      </c>
      <c r="J21" s="2">
        <v>78</v>
      </c>
      <c r="K21" s="2">
        <v>193</v>
      </c>
      <c r="L21" s="10">
        <v>0.28782287822878228</v>
      </c>
      <c r="M21" s="10">
        <v>0.71217712177121772</v>
      </c>
      <c r="N21" s="2">
        <v>7</v>
      </c>
      <c r="O21" s="2">
        <v>160</v>
      </c>
      <c r="P21" s="2">
        <v>37</v>
      </c>
      <c r="Q21" s="2">
        <v>123</v>
      </c>
      <c r="R21" s="10">
        <v>0.23125000000000001</v>
      </c>
      <c r="S21" s="10">
        <v>0.76875000000000004</v>
      </c>
      <c r="T21" s="2">
        <v>6</v>
      </c>
      <c r="U21" s="2">
        <v>167</v>
      </c>
      <c r="V21" s="2">
        <v>42</v>
      </c>
      <c r="W21" s="2">
        <v>125</v>
      </c>
      <c r="X21" s="10">
        <v>0.25149700598802388</v>
      </c>
      <c r="Y21" s="10">
        <v>0.74850299401197606</v>
      </c>
      <c r="Z21" s="2">
        <v>6</v>
      </c>
      <c r="AA21" s="2">
        <v>187</v>
      </c>
      <c r="AB21" s="2">
        <v>42</v>
      </c>
      <c r="AC21" s="2">
        <v>145</v>
      </c>
      <c r="AD21" s="10">
        <v>0.2245989304812834</v>
      </c>
      <c r="AE21" s="10">
        <v>0.77540106951871657</v>
      </c>
      <c r="AF21" s="2">
        <v>6</v>
      </c>
      <c r="AG21" s="2">
        <v>-0.2277227722772277</v>
      </c>
      <c r="AH21" s="2">
        <v>-5.1546391752577319E-3</v>
      </c>
      <c r="AI21" s="2">
        <v>-5.4550003127149922E-2</v>
      </c>
      <c r="AJ21" s="2">
        <v>-0.52564102564102566</v>
      </c>
      <c r="AK21" s="2">
        <v>-0.36269430051813473</v>
      </c>
      <c r="AL21" s="2">
        <v>-5.6572878228782257E-2</v>
      </c>
      <c r="AM21" s="2">
        <v>0.13513513513513509</v>
      </c>
      <c r="AN21" s="2">
        <v>1.6260162601626021E-2</v>
      </c>
      <c r="AO21" s="2">
        <v>2.0247005988023929E-2</v>
      </c>
      <c r="AP21" s="2">
        <v>0</v>
      </c>
      <c r="AQ21" s="2">
        <v>0.16</v>
      </c>
      <c r="AR21" s="2">
        <v>-2.6898075506740501E-2</v>
      </c>
      <c r="AS21" s="2">
        <v>-0.58415841584158412</v>
      </c>
      <c r="AT21" s="2">
        <v>-0.25257731958762891</v>
      </c>
      <c r="AU21" s="2">
        <v>-0.1177739508746488</v>
      </c>
      <c r="AV21" s="2">
        <v>20</v>
      </c>
      <c r="AW21" s="2">
        <v>20</v>
      </c>
      <c r="AX21" s="2">
        <v>21</v>
      </c>
    </row>
    <row r="22" spans="1:50" ht="15.75" customHeight="1" x14ac:dyDescent="0.25">
      <c r="C22">
        <f>SUM(C2:C21)</f>
        <v>35708</v>
      </c>
      <c r="D22">
        <f t="shared" ref="D22:E22" si="0">SUM(D2:D21)</f>
        <v>14471</v>
      </c>
      <c r="E22">
        <f t="shared" si="0"/>
        <v>21237</v>
      </c>
      <c r="F22" s="11">
        <f>+D22/C22</f>
        <v>0.4052593256413129</v>
      </c>
      <c r="G22" s="11">
        <f>+E22/C22</f>
        <v>0.59474067435868716</v>
      </c>
      <c r="I22">
        <f>SUM(I2:I21)</f>
        <v>34157</v>
      </c>
      <c r="J22">
        <f>SUM(J2:J21)</f>
        <v>12591</v>
      </c>
      <c r="K22">
        <f>SUM(K2:K21)</f>
        <v>21566</v>
      </c>
      <c r="L22" s="11">
        <f>+J22/I22</f>
        <v>0.36862136604502738</v>
      </c>
      <c r="M22" s="11">
        <f>+K22/I22</f>
        <v>0.63137863395497262</v>
      </c>
      <c r="O22">
        <f>SUM(O2:O21)</f>
        <v>27997</v>
      </c>
      <c r="P22">
        <f t="shared" ref="P22:Q22" si="1">SUM(P2:P21)</f>
        <v>10840</v>
      </c>
      <c r="Q22">
        <f t="shared" si="1"/>
        <v>17157</v>
      </c>
      <c r="R22" s="11">
        <f>+P22/O22</f>
        <v>0.38718434117941208</v>
      </c>
      <c r="S22" s="11">
        <f>+Q22/O22</f>
        <v>0.61281565882058797</v>
      </c>
      <c r="U22">
        <f>SUM(U2:U21)</f>
        <v>39845</v>
      </c>
      <c r="V22">
        <f t="shared" ref="V22:W22" si="2">SUM(V2:V21)</f>
        <v>19030</v>
      </c>
      <c r="W22">
        <f t="shared" si="2"/>
        <v>20815</v>
      </c>
      <c r="X22" s="11">
        <f>+V22/U22</f>
        <v>0.47760070272305183</v>
      </c>
      <c r="Y22" s="11">
        <f>+W22/U22</f>
        <v>0.52239929727694823</v>
      </c>
      <c r="AA22">
        <f>SUM(AA2:AA21)</f>
        <v>33488</v>
      </c>
      <c r="AB22">
        <f>SUM(AB2:AB21)</f>
        <v>16244</v>
      </c>
      <c r="AC22">
        <f>SUM(AC2:AC21)</f>
        <v>17244</v>
      </c>
      <c r="AD22" s="11">
        <f>+AB22/AA22</f>
        <v>0.4850692785475394</v>
      </c>
      <c r="AE22" s="11">
        <f>+AC22/AA22</f>
        <v>0.51493072145246055</v>
      </c>
    </row>
    <row r="25" spans="1:50" ht="15.75" customHeight="1" x14ac:dyDescent="0.25">
      <c r="B25" s="8" t="s">
        <v>96</v>
      </c>
      <c r="C25" s="8"/>
      <c r="D25" s="8"/>
      <c r="E25" s="8"/>
      <c r="F25" s="8"/>
      <c r="G25" s="8"/>
    </row>
    <row r="26" spans="1:50" ht="15.75" customHeight="1" x14ac:dyDescent="0.25">
      <c r="B26" s="8"/>
      <c r="C26" s="8"/>
      <c r="D26" s="8"/>
      <c r="E26" s="8"/>
      <c r="F26" s="8"/>
      <c r="G26" s="8"/>
    </row>
    <row r="27" spans="1:50" ht="15.75" customHeight="1" x14ac:dyDescent="0.25">
      <c r="B27" s="8"/>
      <c r="C27" s="8"/>
      <c r="D27" s="8"/>
      <c r="E27" s="8"/>
      <c r="F27" s="8"/>
      <c r="G27" s="8"/>
    </row>
    <row r="28" spans="1:50" ht="15.75" customHeight="1" x14ac:dyDescent="0.25">
      <c r="B28" s="8"/>
      <c r="C28" s="8"/>
      <c r="D28" s="8"/>
      <c r="E28" s="8"/>
      <c r="F28" s="8"/>
      <c r="G28" s="8"/>
    </row>
    <row r="29" spans="1:50" ht="15.75" customHeight="1" x14ac:dyDescent="0.25">
      <c r="B29" s="8"/>
      <c r="C29" s="8"/>
      <c r="D29" s="8"/>
      <c r="E29" s="8"/>
      <c r="F29" s="8"/>
      <c r="G29" s="8"/>
    </row>
    <row r="30" spans="1:50" ht="15.75" customHeight="1" x14ac:dyDescent="0.25">
      <c r="B30" s="8"/>
      <c r="C30" s="8"/>
      <c r="D30" s="8"/>
      <c r="E30" s="8"/>
      <c r="F30" s="8"/>
      <c r="G30" s="8"/>
    </row>
    <row r="31" spans="1:50" ht="15.75" customHeight="1" x14ac:dyDescent="0.25">
      <c r="B31" s="8"/>
      <c r="C31" s="8"/>
      <c r="D31" s="8"/>
      <c r="E31" s="8"/>
      <c r="F31" s="8"/>
      <c r="G31" s="8"/>
    </row>
    <row r="32" spans="1:50" ht="15.75" customHeight="1" x14ac:dyDescent="0.25">
      <c r="B32" s="8"/>
      <c r="C32" s="8"/>
      <c r="D32" s="8"/>
      <c r="E32" s="8"/>
      <c r="F32" s="8"/>
      <c r="G32" s="8"/>
    </row>
    <row r="45" ht="13.2" x14ac:dyDescent="0.25"/>
    <row r="46" ht="13.2" x14ac:dyDescent="0.25"/>
    <row r="47" ht="13.2" x14ac:dyDescent="0.25"/>
    <row r="48" ht="13.2" x14ac:dyDescent="0.25"/>
    <row r="49" ht="13.2" x14ac:dyDescent="0.25"/>
    <row r="50" ht="13.2" x14ac:dyDescent="0.25"/>
    <row r="51" ht="13.2" x14ac:dyDescent="0.25"/>
    <row r="52" ht="13.2" x14ac:dyDescent="0.25"/>
    <row r="53" ht="13.2" x14ac:dyDescent="0.25"/>
    <row r="54" ht="13.2" x14ac:dyDescent="0.25"/>
    <row r="55" ht="13.2" x14ac:dyDescent="0.25"/>
    <row r="56" ht="13.2" x14ac:dyDescent="0.25"/>
    <row r="57" ht="13.2" x14ac:dyDescent="0.25"/>
    <row r="58" ht="13.2" x14ac:dyDescent="0.25"/>
    <row r="59" ht="13.2" x14ac:dyDescent="0.25"/>
    <row r="60" ht="13.2" x14ac:dyDescent="0.25"/>
    <row r="61" ht="13.2" x14ac:dyDescent="0.25"/>
    <row r="62" ht="13.2" x14ac:dyDescent="0.25"/>
    <row r="63" ht="13.2" x14ac:dyDescent="0.25"/>
    <row r="64" ht="13.2" x14ac:dyDescent="0.25"/>
    <row r="65" ht="13.2" x14ac:dyDescent="0.25"/>
    <row r="66" ht="13.2" x14ac:dyDescent="0.25"/>
    <row r="67" ht="13.2" x14ac:dyDescent="0.25"/>
    <row r="68" ht="13.2" x14ac:dyDescent="0.25"/>
    <row r="69" ht="13.2" x14ac:dyDescent="0.25"/>
    <row r="70" ht="13.2" x14ac:dyDescent="0.25"/>
    <row r="71" ht="13.2" x14ac:dyDescent="0.25"/>
    <row r="72" ht="13.2" x14ac:dyDescent="0.25"/>
    <row r="73" ht="13.2" x14ac:dyDescent="0.25"/>
    <row r="74" ht="13.2" x14ac:dyDescent="0.25"/>
    <row r="75" ht="13.2" x14ac:dyDescent="0.25"/>
    <row r="76" ht="13.2" x14ac:dyDescent="0.25"/>
    <row r="77" ht="13.2" x14ac:dyDescent="0.25"/>
    <row r="78" ht="13.2" x14ac:dyDescent="0.25"/>
    <row r="79" ht="13.2" x14ac:dyDescent="0.25"/>
    <row r="80" ht="13.2" x14ac:dyDescent="0.25"/>
    <row r="81" ht="13.2" x14ac:dyDescent="0.25"/>
    <row r="82" ht="13.2" x14ac:dyDescent="0.25"/>
    <row r="83" ht="13.2" x14ac:dyDescent="0.25"/>
    <row r="84" ht="13.2" x14ac:dyDescent="0.25"/>
    <row r="85" ht="13.2" x14ac:dyDescent="0.25"/>
    <row r="86" ht="13.2" x14ac:dyDescent="0.25"/>
    <row r="87" ht="13.2" x14ac:dyDescent="0.25"/>
    <row r="88" ht="13.2" x14ac:dyDescent="0.25"/>
    <row r="89" ht="13.2" x14ac:dyDescent="0.25"/>
    <row r="90" ht="13.2" x14ac:dyDescent="0.25"/>
    <row r="91" ht="13.2" x14ac:dyDescent="0.25"/>
    <row r="92" ht="13.2" x14ac:dyDescent="0.25"/>
    <row r="93" ht="13.2" x14ac:dyDescent="0.25"/>
    <row r="94" ht="13.2" x14ac:dyDescent="0.25"/>
    <row r="95" ht="13.2" x14ac:dyDescent="0.25"/>
    <row r="96" ht="13.2" x14ac:dyDescent="0.25"/>
    <row r="97" ht="13.2" x14ac:dyDescent="0.25"/>
    <row r="98" ht="13.2" x14ac:dyDescent="0.25"/>
    <row r="99" ht="13.2" x14ac:dyDescent="0.25"/>
    <row r="100" ht="13.2" x14ac:dyDescent="0.25"/>
    <row r="101" ht="13.2" x14ac:dyDescent="0.25"/>
    <row r="102" ht="13.2" x14ac:dyDescent="0.25"/>
    <row r="103" ht="13.2" x14ac:dyDescent="0.25"/>
    <row r="104" ht="13.2" x14ac:dyDescent="0.25"/>
    <row r="105" ht="13.2" x14ac:dyDescent="0.25"/>
    <row r="106" ht="13.2" x14ac:dyDescent="0.25"/>
    <row r="107" ht="13.2" x14ac:dyDescent="0.25"/>
    <row r="108" ht="13.2" x14ac:dyDescent="0.25"/>
    <row r="109" ht="13.2" x14ac:dyDescent="0.25"/>
    <row r="110" ht="13.2" x14ac:dyDescent="0.25"/>
    <row r="111" ht="13.2" x14ac:dyDescent="0.25"/>
    <row r="112" ht="13.2" x14ac:dyDescent="0.25"/>
    <row r="113" ht="13.2" x14ac:dyDescent="0.25"/>
    <row r="114" ht="13.2" x14ac:dyDescent="0.25"/>
    <row r="115" ht="13.2" x14ac:dyDescent="0.25"/>
    <row r="116" ht="13.2" x14ac:dyDescent="0.25"/>
    <row r="117" ht="13.2" x14ac:dyDescent="0.25"/>
    <row r="118" ht="13.2" x14ac:dyDescent="0.25"/>
    <row r="119" ht="13.2" x14ac:dyDescent="0.25"/>
    <row r="120" ht="13.2" x14ac:dyDescent="0.25"/>
    <row r="121" ht="13.2" x14ac:dyDescent="0.25"/>
    <row r="122" ht="13.2" x14ac:dyDescent="0.25"/>
    <row r="123" ht="13.2" x14ac:dyDescent="0.25"/>
    <row r="124" ht="13.2" x14ac:dyDescent="0.25"/>
    <row r="125" ht="13.2" x14ac:dyDescent="0.25"/>
    <row r="126" ht="13.2" x14ac:dyDescent="0.25"/>
    <row r="127" ht="13.2" x14ac:dyDescent="0.25"/>
    <row r="128" ht="13.2" x14ac:dyDescent="0.25"/>
    <row r="129" ht="13.2" x14ac:dyDescent="0.25"/>
    <row r="130" ht="13.2" x14ac:dyDescent="0.25"/>
    <row r="131" ht="13.2" x14ac:dyDescent="0.25"/>
    <row r="132" ht="13.2" x14ac:dyDescent="0.25"/>
    <row r="133" ht="13.2" x14ac:dyDescent="0.25"/>
    <row r="134" ht="13.2" x14ac:dyDescent="0.25"/>
    <row r="135" ht="13.2" x14ac:dyDescent="0.25"/>
    <row r="136" ht="13.2" x14ac:dyDescent="0.25"/>
    <row r="137" ht="13.2" x14ac:dyDescent="0.25"/>
    <row r="138" ht="13.2" x14ac:dyDescent="0.25"/>
    <row r="139" ht="13.2" x14ac:dyDescent="0.25"/>
    <row r="140" ht="13.2" x14ac:dyDescent="0.25"/>
    <row r="141" ht="13.2" x14ac:dyDescent="0.25"/>
    <row r="142" ht="13.2" x14ac:dyDescent="0.25"/>
    <row r="143" ht="13.2" x14ac:dyDescent="0.25"/>
    <row r="144" ht="13.2" x14ac:dyDescent="0.25"/>
    <row r="145" ht="13.2" x14ac:dyDescent="0.25"/>
    <row r="146" ht="13.2" x14ac:dyDescent="0.25"/>
    <row r="147" ht="13.2" x14ac:dyDescent="0.25"/>
    <row r="148" ht="13.2" x14ac:dyDescent="0.25"/>
    <row r="149" ht="13.2" x14ac:dyDescent="0.25"/>
    <row r="150" ht="13.2" x14ac:dyDescent="0.25"/>
    <row r="151" ht="13.2" x14ac:dyDescent="0.25"/>
    <row r="152" ht="13.2" x14ac:dyDescent="0.25"/>
    <row r="153" ht="13.2" x14ac:dyDescent="0.25"/>
    <row r="154" ht="13.2" x14ac:dyDescent="0.25"/>
    <row r="155" ht="13.2" x14ac:dyDescent="0.25"/>
    <row r="156" ht="13.2" x14ac:dyDescent="0.25"/>
    <row r="157" ht="13.2" x14ac:dyDescent="0.25"/>
    <row r="158" ht="13.2" x14ac:dyDescent="0.25"/>
    <row r="159" ht="13.2" x14ac:dyDescent="0.25"/>
    <row r="160" ht="13.2" x14ac:dyDescent="0.25"/>
    <row r="161" ht="13.2" x14ac:dyDescent="0.25"/>
    <row r="162" ht="13.2" x14ac:dyDescent="0.25"/>
    <row r="163" ht="13.2" x14ac:dyDescent="0.25"/>
    <row r="164" ht="13.2" x14ac:dyDescent="0.25"/>
    <row r="165" ht="13.2" x14ac:dyDescent="0.25"/>
    <row r="166" ht="13.2" x14ac:dyDescent="0.25"/>
    <row r="167" ht="13.2" x14ac:dyDescent="0.25"/>
    <row r="168" ht="13.2" x14ac:dyDescent="0.25"/>
    <row r="169" ht="13.2" x14ac:dyDescent="0.25"/>
    <row r="170" ht="13.2" x14ac:dyDescent="0.25"/>
    <row r="171" ht="13.2" x14ac:dyDescent="0.25"/>
    <row r="172" ht="13.2" x14ac:dyDescent="0.25"/>
    <row r="173" ht="13.2" x14ac:dyDescent="0.25"/>
    <row r="174" ht="13.2" x14ac:dyDescent="0.25"/>
    <row r="175" ht="13.2" x14ac:dyDescent="0.25"/>
    <row r="176" ht="13.2" x14ac:dyDescent="0.25"/>
    <row r="177" ht="13.2" x14ac:dyDescent="0.25"/>
    <row r="178" ht="13.2" x14ac:dyDescent="0.25"/>
    <row r="179" ht="13.2" x14ac:dyDescent="0.25"/>
    <row r="180" ht="13.2" x14ac:dyDescent="0.25"/>
    <row r="181" ht="13.2" x14ac:dyDescent="0.25"/>
    <row r="182" ht="13.2" x14ac:dyDescent="0.25"/>
    <row r="183" ht="13.2" x14ac:dyDescent="0.25"/>
    <row r="184" ht="13.2" x14ac:dyDescent="0.25"/>
    <row r="185" ht="13.2" x14ac:dyDescent="0.25"/>
    <row r="186" ht="13.2" x14ac:dyDescent="0.25"/>
    <row r="187" ht="13.2" x14ac:dyDescent="0.25"/>
    <row r="188" ht="13.2" x14ac:dyDescent="0.25"/>
    <row r="189" ht="13.2" x14ac:dyDescent="0.25"/>
    <row r="190" ht="13.2" x14ac:dyDescent="0.25"/>
    <row r="191" ht="13.2" x14ac:dyDescent="0.25"/>
    <row r="192" ht="13.2" x14ac:dyDescent="0.25"/>
    <row r="193" ht="13.2" x14ac:dyDescent="0.25"/>
    <row r="194" ht="13.2" x14ac:dyDescent="0.25"/>
    <row r="195" ht="13.2" x14ac:dyDescent="0.25"/>
    <row r="196" ht="13.2" x14ac:dyDescent="0.25"/>
    <row r="197" ht="13.2" x14ac:dyDescent="0.25"/>
    <row r="198" ht="13.2" x14ac:dyDescent="0.25"/>
    <row r="199" ht="13.2" x14ac:dyDescent="0.25"/>
    <row r="200" ht="13.2" x14ac:dyDescent="0.25"/>
    <row r="201" ht="13.2" x14ac:dyDescent="0.25"/>
    <row r="202" ht="13.2" x14ac:dyDescent="0.25"/>
    <row r="203" ht="13.2" x14ac:dyDescent="0.25"/>
    <row r="204" ht="13.2" x14ac:dyDescent="0.25"/>
    <row r="205" ht="13.2" x14ac:dyDescent="0.25"/>
    <row r="206" ht="13.2" x14ac:dyDescent="0.25"/>
    <row r="207" ht="13.2" x14ac:dyDescent="0.25"/>
    <row r="208" ht="13.2" x14ac:dyDescent="0.25"/>
    <row r="209" ht="13.2" x14ac:dyDescent="0.25"/>
    <row r="210" ht="13.2" x14ac:dyDescent="0.25"/>
    <row r="211" ht="13.2" x14ac:dyDescent="0.25"/>
    <row r="212" ht="13.2" x14ac:dyDescent="0.25"/>
    <row r="213" ht="13.2" x14ac:dyDescent="0.25"/>
    <row r="214" ht="13.2" x14ac:dyDescent="0.25"/>
    <row r="215" ht="13.2" x14ac:dyDescent="0.25"/>
    <row r="216" ht="13.2" x14ac:dyDescent="0.25"/>
    <row r="217" ht="13.2" x14ac:dyDescent="0.25"/>
    <row r="218" ht="13.2" x14ac:dyDescent="0.25"/>
    <row r="219" ht="13.2" x14ac:dyDescent="0.25"/>
    <row r="220" ht="13.2" x14ac:dyDescent="0.25"/>
    <row r="221" ht="13.2" x14ac:dyDescent="0.25"/>
    <row r="222" ht="13.2" x14ac:dyDescent="0.25"/>
    <row r="223" ht="13.2" x14ac:dyDescent="0.25"/>
    <row r="224" ht="13.2" x14ac:dyDescent="0.25"/>
    <row r="225" ht="13.2" x14ac:dyDescent="0.25"/>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sheetData>
  <mergeCells count="1">
    <mergeCell ref="B25:G32"/>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Summary</vt:lpstr>
      <vt:lpstr>Rankings</vt:lpstr>
      <vt:lpstr>Competitor Insights</vt:lpstr>
      <vt:lpstr>Competitive Wins</vt:lpstr>
      <vt:lpstr>Full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2026-01-29T15:21:55Z</dcterms:created>
  <dcterms:modified xsi:type="dcterms:W3CDTF">2026-03-02T19:53:47Z</dcterms:modified>
</cp:coreProperties>
</file>